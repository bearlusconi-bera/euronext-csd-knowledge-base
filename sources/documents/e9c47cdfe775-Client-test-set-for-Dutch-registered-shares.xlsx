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https://euronext-my.sharepoint.com/personal/amadouasse_euronext_com/Documents/Desktop/"/>
    </mc:Choice>
  </mc:AlternateContent>
  <xr:revisionPtr revIDLastSave="0" documentId="8_{03005636-4F42-41E7-885D-FA617722C6A7}" xr6:coauthVersionLast="47" xr6:coauthVersionMax="47" xr10:uidLastSave="{00000000-0000-0000-0000-000000000000}"/>
  <bookViews>
    <workbookView xWindow="-108" yWindow="-108" windowWidth="23256" windowHeight="13896" activeTab="1" xr2:uid="{00000000-000D-0000-FFFF-FFFF00000000}"/>
  </bookViews>
  <sheets>
    <sheet name="Sheet1" sheetId="1" r:id="rId1"/>
    <sheet name="DRS" sheetId="2" r:id="rId2"/>
  </sheets>
  <definedNames>
    <definedName name="Priority">DRS!$C$1:$C$4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2" l="1"/>
  <c r="A21" i="2"/>
  <c r="D20" i="2"/>
  <c r="A20" i="2"/>
  <c r="D19" i="2"/>
  <c r="A19" i="2"/>
  <c r="D18" i="2"/>
  <c r="A18" i="2"/>
  <c r="D17" i="2"/>
  <c r="A17" i="2"/>
  <c r="D16" i="2"/>
  <c r="A16" i="2"/>
  <c r="D15" i="2"/>
  <c r="A15" i="2"/>
  <c r="D14" i="2"/>
  <c r="A14" i="2"/>
  <c r="D13" i="2"/>
  <c r="A13" i="2"/>
  <c r="D12" i="2"/>
  <c r="A12" i="2"/>
  <c r="D11" i="2"/>
  <c r="A11" i="2"/>
  <c r="D10" i="2"/>
  <c r="A10" i="2"/>
  <c r="D9" i="2"/>
  <c r="A9" i="2"/>
  <c r="D8" i="2"/>
  <c r="A8" i="2"/>
  <c r="D7" i="2"/>
  <c r="A7" i="2"/>
  <c r="D6" i="2"/>
  <c r="A6" i="2"/>
  <c r="D5" i="2"/>
  <c r="A5" i="2"/>
  <c r="D4" i="2"/>
  <c r="A4" i="2"/>
  <c r="D3" i="2"/>
  <c r="A3" i="2"/>
</calcChain>
</file>

<file path=xl/sharedStrings.xml><?xml version="1.0" encoding="utf-8"?>
<sst xmlns="http://schemas.openxmlformats.org/spreadsheetml/2006/main" count="262" uniqueCount="140">
  <si>
    <t>Ref_Key</t>
  </si>
  <si>
    <t>Priority</t>
  </si>
  <si>
    <t>Test Design Status</t>
  </si>
  <si>
    <t>TEST Case</t>
  </si>
  <si>
    <t>ETA</t>
  </si>
  <si>
    <t>Main Topic</t>
  </si>
  <si>
    <t>Functionality</t>
  </si>
  <si>
    <t>Application</t>
  </si>
  <si>
    <t>User Profile</t>
  </si>
  <si>
    <t>Pre-requisites</t>
  </si>
  <si>
    <t>Dependencies</t>
  </si>
  <si>
    <t>References</t>
  </si>
  <si>
    <t xml:space="preserve">Description </t>
  </si>
  <si>
    <t>Expected Result</t>
  </si>
  <si>
    <t>Testing status</t>
  </si>
  <si>
    <t>Testing Comments</t>
  </si>
  <si>
    <t>Last Day Execution</t>
  </si>
  <si>
    <t>BUG Ref</t>
  </si>
  <si>
    <t>Test relevance</t>
  </si>
  <si>
    <t>Numerical ID of the test case</t>
  </si>
  <si>
    <t>Planned date for completion</t>
  </si>
  <si>
    <t>General topic object of the test case</t>
  </si>
  <si>
    <t>Specific functionality of the test case</t>
  </si>
  <si>
    <t>Application or module being tested</t>
  </si>
  <si>
    <t>Type of client targeted by the test case</t>
  </si>
  <si>
    <t>Conditions or setup needed before testing</t>
  </si>
  <si>
    <t>Tests or systems that must be completed first</t>
  </si>
  <si>
    <t>Related documents or requirements</t>
  </si>
  <si>
    <t>Detailed description of the test case</t>
  </si>
  <si>
    <t>Anticipated outcome of the test</t>
  </si>
  <si>
    <t>Specify test outcome</t>
  </si>
  <si>
    <t>Report notes / comments if needed</t>
  </si>
  <si>
    <t>Specify test execution date</t>
  </si>
  <si>
    <t>Identifier for any bugs found</t>
  </si>
  <si>
    <t>High Priority</t>
  </si>
  <si>
    <t>Approved by PO</t>
  </si>
  <si>
    <t>Issuance process (in administrative accounts)</t>
  </si>
  <si>
    <t>Creation of Dutch administrative accounts for a specific ISIN/Issuer
(STEP 1)</t>
  </si>
  <si>
    <t>MT-X (ES-MIL GUI) - General Mandate module;
Tableau WebPortal</t>
  </si>
  <si>
    <t>Issuer agent</t>
  </si>
  <si>
    <r>
      <t>ES-MIL is issuer CSD; Issuer and Issuer Agent onboarded; Master Deed prepared; Issuance account created for the Issuer; Issuer Agent</t>
    </r>
    <r>
      <rPr>
        <strike/>
        <sz val="9"/>
        <rFont val="Verdana"/>
        <family val="2"/>
      </rPr>
      <t xml:space="preserve"> </t>
    </r>
    <r>
      <rPr>
        <sz val="9"/>
        <rFont val="Verdana"/>
        <family val="2"/>
      </rPr>
      <t>communicates to Register &amp; AGM team (via MT-X) on allocation of securities on administrative accounts (Issuer Agent can communicate via the "Registered Service" screen in "General Mandate" module of MT-X)</t>
    </r>
  </si>
  <si>
    <t>System configuration and account structure set up</t>
  </si>
  <si>
    <t>Service Description sections 5.3.1, 5.3.4, 5.4.1.1</t>
  </si>
  <si>
    <r>
      <rPr>
        <sz val="9"/>
        <color rgb="FF000000"/>
        <rFont val="Verdana"/>
      </rPr>
      <t xml:space="preserve">Process the creation and allocation of new Dutch shares using the master deed and global note, ensuring the debit of issuance account and credit is assigned to the correct administrative account as per issuer agent </t>
    </r>
    <r>
      <rPr>
        <strike/>
        <sz val="9"/>
        <color rgb="FF000000"/>
        <rFont val="Verdana"/>
      </rPr>
      <t xml:space="preserve"> </t>
    </r>
    <r>
      <rPr>
        <sz val="9"/>
        <color rgb="FF000000"/>
        <rFont val="Verdana"/>
      </rPr>
      <t>communication to ES-MIL Ops. Complete process on same day as communication, with input validation according to the 4-eyes principle.</t>
    </r>
  </si>
  <si>
    <r>
      <t>Dutch shares are created and allocated to the appropriate administrative accounts (UIS or NIS or IOB), visible in the system and in line with authorised limits. Issuer Agent can check:
- Confirmation that the Agent communication is taken for processing (in MT-X) by Register &amp; AGM team;
- Balances and movements in Tableau on the next day.</t>
    </r>
    <r>
      <rPr>
        <strike/>
        <sz val="9"/>
        <rFont val="Verdana"/>
        <family val="2"/>
      </rPr>
      <t xml:space="preserve">
</t>
    </r>
    <r>
      <rPr>
        <sz val="9"/>
        <rFont val="Verdana"/>
        <family val="2"/>
      </rPr>
      <t>Note: Distribution to participants in the next test cases.</t>
    </r>
  </si>
  <si>
    <t>To Do</t>
  </si>
  <si>
    <t>Issuance process (in book entry system)</t>
  </si>
  <si>
    <t>Issuance specific ISIN from Issuance account to custodian (STEP 2)</t>
  </si>
  <si>
    <t>Issuer Agent</t>
  </si>
  <si>
    <t>ES-MIL is issuer CSD; Issuer and Issuer Agent onboarded; Master Deed prepared; Issuance account created for the Issuer; Administrative accounts created for the ISIN/Issuer</t>
  </si>
  <si>
    <t>Service Description sections 5.3.2, 5.4.1.2</t>
  </si>
  <si>
    <t>Issuer Agent instructs the debit of the issuance account to allocate securities to CSD participant accounts via DVP instructions in MT-X.</t>
  </si>
  <si>
    <t>Issuer Agent receives settlement confirmation (once settled). Issuer Agent can check issuance result in Tableau on the next day.</t>
  </si>
  <si>
    <t>Issuance specific ISIN from Issuance account to custodian (STEP 3)</t>
  </si>
  <si>
    <t>MT-X (ES-MIL GUI) - General Mandate module</t>
  </si>
  <si>
    <t>Custodian</t>
  </si>
  <si>
    <t>Custodian submits RVP instructions, either by SWIFT message or via X-TRM.</t>
  </si>
  <si>
    <t>Custodian receives settlement confirmation (once settled).</t>
  </si>
  <si>
    <t>Issuance specific ISIN from Issuance account to custodian (STEP 4)</t>
  </si>
  <si>
    <t>ES-MIL is issuer CSD; Issuer and Issuer Agent onboarded; Master Deed prepared; Issuance account created for the Issuer; Administrative accounts created for the ISIN/Issuer; Issuer Agent instructs Register &amp; AGM team on debit of securities on "New issued account (NIS)"</t>
  </si>
  <si>
    <t>Register &amp; AGM team debits the 'New Issued Account (NIS)' administrative accounts as per issuer agent communication in MT-X, related to paid up securities by participants. Action executed same day by Register &amp; AGM team, applying 4-eyes principle for input validation.</t>
  </si>
  <si>
    <r>
      <t>Issuer Agent receives confirmation that the communication is taken for processing (in MT-X) by Register &amp; AGM team.</t>
    </r>
    <r>
      <rPr>
        <strike/>
        <sz val="9"/>
        <rFont val="Verdana"/>
        <family val="2"/>
      </rPr>
      <t xml:space="preserve"> 
</t>
    </r>
    <r>
      <rPr>
        <sz val="9"/>
        <rFont val="Verdana"/>
        <family val="2"/>
      </rPr>
      <t>The "New issued account (NIS)"account balance and movements can be checked in Tableau on the next day.</t>
    </r>
  </si>
  <si>
    <t>Account management</t>
  </si>
  <si>
    <t>Transition between UIS, NIS, CS, IOB accounts</t>
  </si>
  <si>
    <t>Issuer</t>
  </si>
  <si>
    <t>Accounts created and mapped according to closed structure</t>
  </si>
  <si>
    <t>Issuance process completed</t>
  </si>
  <si>
    <t>Service Description sections 5.3.1, 5.3.4</t>
  </si>
  <si>
    <t>Process movement of shares between UIS (un-issued), NIS (newly issued), CS (conversion), and IOB (outside book-entry) accounts, as per issuer agent communication to ES-MIL Ops (via MT-X), ensuring accurate balances and audit trail.</t>
  </si>
  <si>
    <t>Shares transition correctly between accounts, with accurate balances and complete audit trail.
Accounts balance and movements can be checked in Tableau reports on the next day by Issuer Agent.</t>
  </si>
  <si>
    <t>Delivery and settlement</t>
  </si>
  <si>
    <t>Delivery of newly issued shares to participants</t>
  </si>
  <si>
    <t>MT-X (ES-MIL GUI) - Settlement module</t>
  </si>
  <si>
    <t>Shares issued and allocated</t>
  </si>
  <si>
    <t>Account management completed</t>
  </si>
  <si>
    <t>Service Description sections 5.4.1.1, 5.4.1.2</t>
  </si>
  <si>
    <t>Process delivery and settlement of Dutch shares to participants (from Issuance account vs Custodian accounts). Issuer agent communicates the quantity to debit from the NIS administrative account.</t>
  </si>
  <si>
    <t>Issuer agent can check the confirmation that the agent communication is taken for processing by Register &amp; AGM team (in MT-X).
Shares delivered and settled, daily reconciliation (using Tableau reports on issuance, custodian and administrative accounts balances) is correct.</t>
  </si>
  <si>
    <t>Corporate actions</t>
  </si>
  <si>
    <t>Processing of dividend payments and other actions</t>
  </si>
  <si>
    <t>MT-X (ES-MIL GUI) - Corporate actions module</t>
  </si>
  <si>
    <t>Shares issued and settled</t>
  </si>
  <si>
    <t>Settlement completed</t>
  </si>
  <si>
    <t>Service Description section 5.6</t>
  </si>
  <si>
    <t>Process corporate actions (e.g. cash dividends) for Dutch registered shares, ensuring correct allocation to participants.</t>
  </si>
  <si>
    <t>Corporate actions processed and reflected in participant accounts, notifications sent.</t>
  </si>
  <si>
    <t>Securities delivery in book entry system</t>
  </si>
  <si>
    <t>Issuance specific ISIN from Issuance account to custodian (STEP 1) - Additional Issuance process</t>
  </si>
  <si>
    <t>ES-MIL is issuer CSD; Issuer and Issuer Agent onboarded; Master Deed prepared; Issuance account created for the Issuer; Administrative accounts created for the ISIN/Issuer; Issuer Agent proceeds with issuance of additional tranche</t>
  </si>
  <si>
    <t>Service Description section 5.4.1.2</t>
  </si>
  <si>
    <t>Issuer Agent instructs debit of issuance account to allocate securities to CSD participant accounts via DVP instructions in MT-X.</t>
  </si>
  <si>
    <t>Issuer Agent receives debit settlement confirmation (once settled); can check issuance account balance and movements in Tableau on the next day.</t>
  </si>
  <si>
    <t>Issuance specific ISIN from Issuance account to custodian (STEP 2) - Additional Issuance process</t>
  </si>
  <si>
    <t>ES-MIL is issuer CSD; Issuer and Issuer Agent onboarded; Master Deed prepared; Issuance account created for the Issuer; Administrative account created for the ISIN/Issuer; Issuer Agent proceeds with additional tranche</t>
  </si>
  <si>
    <t>Custodian receives credit settlement confirmation (once settled).</t>
  </si>
  <si>
    <t>Securities delivery in book entry system (impact on administrative account)</t>
  </si>
  <si>
    <t>Issuance specific ISIN from Issuance account to custodian (STEP 3) - Additional Issuance process</t>
  </si>
  <si>
    <t>ES-MIL is issuer CSD; Issuer and Issuer Agent onboarded; Master Deed prepared; Issuance account created for the Issuer; Administrative accounts created for the ISIN/Issuer; Issuer Agent communicates to Register &amp; AGM team (via MT-X) on debit of securities on "Unissued securities (UIS)"</t>
  </si>
  <si>
    <t>Register &amp; AGM team debits securities quantity from 'Un-Issued Account (UIS)' administrative accounts as per issuer agent communication in MT-X. Action executed same day, applying 4-eyes principle for input validation.</t>
  </si>
  <si>
    <r>
      <t>Issuer Agent receives confirmation that the communication is taken for processing (in MT-X) by Register &amp; AGM team.</t>
    </r>
    <r>
      <rPr>
        <strike/>
        <sz val="9"/>
        <rFont val="Verdana"/>
        <family val="2"/>
      </rPr>
      <t xml:space="preserve"> 
</t>
    </r>
    <r>
      <rPr>
        <sz val="9"/>
        <rFont val="Verdana"/>
        <family val="2"/>
      </rPr>
      <t>The "Unissued account (UIS)" account balance and movements can be checked in Tableau reports on the next day.</t>
    </r>
  </si>
  <si>
    <t>Securities delivery in book entry system &amp; impact on administrative account</t>
  </si>
  <si>
    <t>Conversion of security in registered form in Shareholder Register into securities in dematerialised form in book entry system (STEP 1)</t>
  </si>
  <si>
    <t>ES-MIL is issuer CSD; Issuer and Issuer Agent onboarded; Master Deed prepared; Issuance account created for the Issuer; Administrative accounts created for the ISIN/Issuer; Issuer Agent communicates to Register &amp; AGM team (via MT-X) on debit of securities on "Issued outside the CSD (IOB)" account; Issuer Agent (registrar) does necessary conversion on Register</t>
  </si>
  <si>
    <t>Service Description section 5.4.1.3</t>
  </si>
  <si>
    <r>
      <t>Register &amp; AGM team debits securities quantity from 'Issued Outside the CSD (IOB)' administrative accounts as per issuer agent</t>
    </r>
    <r>
      <rPr>
        <strike/>
        <sz val="9"/>
        <rFont val="Verdana"/>
        <family val="2"/>
      </rPr>
      <t xml:space="preserve"> </t>
    </r>
    <r>
      <rPr>
        <sz val="9"/>
        <rFont val="Verdana"/>
        <family val="2"/>
      </rPr>
      <t>communication in MT-X. Action executed same day, applying 4-eyes principle for input validation. 
Issuer Agent also inputs settlement instruction to debit issuance account and credit custodian account (the one relevant to the shareholder requestor); alternatively, Register &amp; AGM team may submit this instruction instead of issuer agent at his request.</t>
    </r>
  </si>
  <si>
    <r>
      <t>Issuer Agent receives debit settlement confirmation (once settled); 
Issuer Agent receives confirmation that the communication is taken for processing (in MT-X) by Register &amp; AGM team.</t>
    </r>
    <r>
      <rPr>
        <strike/>
        <sz val="9"/>
        <rFont val="Verdana"/>
        <family val="2"/>
      </rPr>
      <t xml:space="preserve"> 
</t>
    </r>
    <r>
      <rPr>
        <sz val="9"/>
        <rFont val="Verdana"/>
        <family val="2"/>
      </rPr>
      <t>The "Issued outside the CSD (IOB)" account balance and movements can be checked in Tableau reports on the next day.</t>
    </r>
  </si>
  <si>
    <t>Conversion of security in registered form in Shareholder Register into securities in dematerialised form in book entry system</t>
  </si>
  <si>
    <t>To convert the security form from "registered" to "dematerialized" the Issuer Agent input settlement instruction to debit issuance account and credit custodian account (the one relevant to the shareholder requestor), as per STEP 1.</t>
  </si>
  <si>
    <t>Securities withdrawal from book entry system &amp; impact on administrative account</t>
  </si>
  <si>
    <t>Securities withdrawal (shares buy back) - STEP 1</t>
  </si>
  <si>
    <t>ES-MIL is issuer CSD; Issuer and Issuer Agent onboarded; Master Deed prepared; Issuance account created for the Issuer; Administrative accounts created for the ISIN/Issuer; "Shares buy back" corporate action announced and processed; Issuer Agent communicates to Register &amp; AGM team (via MT-X) on credit of securities on "UnIssued securities (UIS)" account</t>
  </si>
  <si>
    <t>Service Description section 5.4.2.1</t>
  </si>
  <si>
    <t>Processing of "share buy back" corporate action generates settlement instructions to debit participant accounts and credit issuance account. 
Register &amp; AGM team credits 'Un-Issued Securities (UIS)' administrative accounts as per issuer agent communication in MT-X. Action executed same day, applying 4-eyes principle for input validation.</t>
  </si>
  <si>
    <t>Issuer Agent receives credit settlement confirmation (once settled); 
Issuer Agent receives confirmation that the communication is taken for processing (in MT-X) by Register &amp; AGM team.
The "Unissued account (UIS)" balances and movements can be checked in Tableau reports on the next day.</t>
  </si>
  <si>
    <t>Securities withdrawal (shares buy back) - STEP 2</t>
  </si>
  <si>
    <t>Processing of "share buy back" corporate action generated settlement instructions to debit participant accounts and credit issuance account.</t>
  </si>
  <si>
    <t>Custodian receives debit settlement confirmation (once settled).</t>
  </si>
  <si>
    <t>Securities withdrawal from book entry system and impact on administrative account</t>
  </si>
  <si>
    <t>Conversion of security in dematerialised form in book entry system into securities in registered form in Shareholder Register
(STEP 1)</t>
  </si>
  <si>
    <t>ES-MIL is issuer CSD; Issuer and Issuer Agent onboarded; Master Deed prepared; Issuance account created for the Issuer; Administrative accounts created for the ISIN/Issuer; Issuer Agent communicates to Register &amp; AGM team (via MT-X) on credit of securities on "Issued outside the CSD (IOB)" account; Issuer Agent (registrar) does necessary conversion on Register</t>
  </si>
  <si>
    <t>Service Description section 5.4.2.2</t>
  </si>
  <si>
    <t>Based on Issuer Agent communication via MT-X, Register &amp; AGM team: inputs settlement instruction to debit securities from participant account and credit issuance account (only CSD can instruct debit of participant account to credit issuance account); Register &amp; AGM team also credits 'Issued Outside the CSD (IOB)' administrative account as per issuer agent communication via MT-X. Actions executed same day, applying 4-eyes principle for input validation.</t>
  </si>
  <si>
    <t>Issuer Agent receives:
- Confirmation that the communication is taken for processing (in MT-X) by Register &amp; AGM team
- Credit settlement confirmation (once settled).
"Issued outside the CSD (IOB)" account balances and movements can be checked in Tableau reports on the next day.</t>
  </si>
  <si>
    <t>Conversion of security in dematerialised form in book entry system into securities in registered form in Shareholder Register
(STEP 2)</t>
  </si>
  <si>
    <t>For securtity conversion from dematerialised into registerd form, the Register &amp; AGM team: inputed settlement instruction to debit securities from participant account and credit issuance account (only CSD can instruct debit of participant account to credit issuance account).</t>
  </si>
  <si>
    <t>Not to be tested</t>
  </si>
  <si>
    <t>Review ongoing</t>
  </si>
  <si>
    <t>Securities withdrawal and conversion to registered form (negative testing)</t>
  </si>
  <si>
    <t>Attempt unauthorised conversion of securities from dematerialised form in book entry system to registered form in Shareholder Register and verify error handling</t>
  </si>
  <si>
    <t>ES-MIL is issuer CSD; Issuer and Issuer Agent onboarded; Master Deed prepared; Issuance account created for the Issuer; Administrative accounts created for the ISIN/Issuer; MSRT restriction type in T2S defined by ES-MIL to block settlement instruction which debit custodian accounts to credit issuance account not requested by CSD; Issuer Agent  communicates to Register &amp; AGM team (via MT-X) on credit of securities on "Issued outside the CSD (IOB)" account; Issuer Agent (registrar) does necessary conversion on Register</t>
  </si>
  <si>
    <t>Issuer Agent inputs invalid Free of payment already matched settlement instruction to debit securities from participant account and credit issuance account.</t>
  </si>
  <si>
    <t>Issuer Agent receives a notification message indicating the credit settlement instruction has been rejected.</t>
  </si>
  <si>
    <t>Issuer Agent inputed Free of payment already matched settlement instruction to debit securities from participant account and credit issuance account.</t>
  </si>
  <si>
    <t>Custodian receives a notification message indicating the debit settlement instruction has been rejected.</t>
  </si>
  <si>
    <t>Reconciliation</t>
  </si>
  <si>
    <t>Daily reconciliation by the issuer agent</t>
  </si>
  <si>
    <t>ES-MIL is issuer CSD; Issuer and Issuer Agent onboarded; Master Deed prepared; Issuance account created for the Issuer; Administrative accounts created for the ISIN/Issuer; movements on issuance and administrative accounts; Issuer and Issuer Agent have access to the dedicated queries/reports in Tableau WebPortal</t>
  </si>
  <si>
    <t>Service Description section 5.5</t>
  </si>
  <si>
    <t>Issuer Agent generates/downloads balance reports on issuance and administrative accounts from Tableau WebPortal.</t>
  </si>
  <si>
    <t>Issuer Agent ensures combined total of issuance account and all administrative accounts remains within limits set by company’s articles of association.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</si>
</sst>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Aptos Narrow"/>
      <family val="2"/>
      <scheme val="minor"/>
    </font>
    <font>
      <b/>
      <sz val="9"/>
      <color rgb="FFE6E9EA"/>
      <name val="Verdana"/>
      <family val="2"/>
    </font>
    <font>
      <sz val="9"/>
      <color rgb="FFE6E9EA"/>
      <name val="Verdana"/>
      <family val="2"/>
    </font>
    <font>
      <i/>
      <sz val="9"/>
      <color rgb="FFE6E9EA"/>
      <name val="Verdana"/>
      <family val="2"/>
    </font>
    <font>
      <sz val="9"/>
      <color rgb="FF000000"/>
      <name val="Verdana"/>
      <family val="2"/>
    </font>
    <font>
      <sz val="9"/>
      <name val="Verdana"/>
      <family val="2"/>
    </font>
    <font>
      <strike/>
      <sz val="9"/>
      <name val="Verdana"/>
      <family val="2"/>
    </font>
    <font>
      <sz val="9"/>
      <color rgb="FF000000"/>
      <name val="Verdana"/>
    </font>
    <font>
      <strike/>
      <sz val="9"/>
      <color rgb="FF000000"/>
      <name val="Verdana"/>
    </font>
    <font>
      <b/>
      <sz val="9"/>
      <color theme="1"/>
      <name val="Verdana"/>
      <family val="2"/>
    </font>
    <font>
      <sz val="9"/>
      <color rgb="FFFF0000"/>
      <name val="Verdana"/>
      <family val="2"/>
    </font>
    <font>
      <sz val="9"/>
      <color theme="1"/>
      <name val="Verdana"/>
      <family val="2"/>
    </font>
    <font>
      <strike/>
      <sz val="9"/>
      <color theme="1"/>
      <name val="Verdana"/>
      <family val="2"/>
    </font>
  </fonts>
  <fills count="7">
    <fill>
      <patternFill patternType="none"/>
    </fill>
    <fill>
      <patternFill patternType="gray125"/>
    </fill>
    <fill>
      <patternFill patternType="solid">
        <fgColor rgb="FFC1C9CB"/>
        <bgColor indexed="64"/>
      </patternFill>
    </fill>
    <fill>
      <patternFill patternType="solid">
        <fgColor rgb="FF003934"/>
        <bgColor rgb="FF5B9BD5"/>
      </patternFill>
    </fill>
    <fill>
      <patternFill patternType="solid">
        <fgColor theme="7" tint="-0.249977111117893"/>
        <bgColor rgb="FF5B9BD5"/>
      </patternFill>
    </fill>
    <fill>
      <patternFill patternType="solid">
        <fgColor theme="7" tint="0.79998168889431442"/>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0" fontId="4" fillId="3" borderId="1" xfId="0" applyFont="1" applyFill="1" applyBorder="1" applyAlignment="1">
      <alignment horizontal="left" vertical="center" wrapText="1"/>
    </xf>
    <xf numFmtId="14" fontId="4" fillId="3" borderId="1" xfId="0" applyNumberFormat="1" applyFont="1" applyFill="1" applyBorder="1" applyAlignment="1">
      <alignment horizontal="left" vertical="center" wrapText="1"/>
    </xf>
    <xf numFmtId="0" fontId="4" fillId="0" borderId="0" xfId="0" applyFont="1" applyAlignment="1">
      <alignment horizontal="left"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14" fontId="5"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0" xfId="0" applyFont="1" applyAlignment="1">
      <alignment horizontal="center" vertical="center" wrapText="1"/>
    </xf>
    <xf numFmtId="0" fontId="10" fillId="6"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5" fillId="0" borderId="1" xfId="0" quotePrefix="1" applyFont="1" applyBorder="1" applyAlignment="1">
      <alignment horizontal="left" vertical="center" wrapText="1"/>
    </xf>
    <xf numFmtId="0" fontId="13" fillId="0" borderId="0" xfId="0" applyFont="1" applyAlignment="1">
      <alignment horizontal="center" vertical="center" wrapText="1"/>
    </xf>
    <xf numFmtId="0" fontId="3" fillId="2" borderId="0" xfId="0" applyFont="1" applyFill="1" applyAlignment="1">
      <alignment horizontal="center" vertical="center" wrapText="1"/>
    </xf>
    <xf numFmtId="14" fontId="12" fillId="0" borderId="0" xfId="0" applyNumberFormat="1" applyFont="1" applyAlignment="1">
      <alignment horizontal="center" vertical="center" wrapText="1"/>
    </xf>
    <xf numFmtId="0" fontId="12" fillId="0" borderId="0" xfId="0" applyFont="1" applyAlignment="1">
      <alignment horizontal="left" vertical="center" wrapText="1"/>
    </xf>
    <xf numFmtId="0" fontId="2" fillId="2"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2" tint="-0.499984740745262"/>
      </font>
      <fill>
        <patternFill>
          <bgColor theme="2"/>
        </patternFill>
      </fill>
    </dxf>
    <dxf>
      <fill>
        <patternFill>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headerFooter>
    <oddFooter>&amp;C_x000D_&amp;1#&amp;"Aptos"&amp;10&amp;KFFEF00 PRIVATE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57A3C-E59A-4B76-9F30-957F06C19D28}">
  <sheetPr>
    <tabColor theme="5" tint="-0.249977111117893"/>
    <pageSetUpPr fitToPage="1"/>
  </sheetPr>
  <dimension ref="A1:R21"/>
  <sheetViews>
    <sheetView tabSelected="1" zoomScale="80" zoomScaleNormal="80" workbookViewId="0">
      <pane xSplit="4" topLeftCell="E1" activePane="topRight" state="frozen"/>
      <selection pane="topRight" sqref="A1:A2"/>
    </sheetView>
  </sheetViews>
  <sheetFormatPr defaultColWidth="9.109375" defaultRowHeight="11.4" x14ac:dyDescent="0.3"/>
  <cols>
    <col min="1" max="1" width="22.5546875" style="22" bestFit="1" customWidth="1"/>
    <col min="2" max="2" width="14" style="17" bestFit="1" customWidth="1"/>
    <col min="3" max="3" width="19" style="17" customWidth="1"/>
    <col min="4" max="4" width="16.88671875" style="17" bestFit="1" customWidth="1"/>
    <col min="5" max="5" width="15.6640625" style="23" customWidth="1"/>
    <col min="6" max="6" width="26.6640625" style="17" customWidth="1"/>
    <col min="7" max="7" width="29.33203125" style="17" bestFit="1" customWidth="1"/>
    <col min="8" max="8" width="29" style="17" customWidth="1"/>
    <col min="9" max="9" width="22.33203125" style="17" customWidth="1"/>
    <col min="10" max="10" width="35.109375" style="24" customWidth="1"/>
    <col min="11" max="11" width="23.44140625" style="24" bestFit="1" customWidth="1"/>
    <col min="12" max="12" width="20.88671875" style="24" customWidth="1"/>
    <col min="13" max="13" width="42.44140625" style="24" customWidth="1"/>
    <col min="14" max="14" width="47.109375" style="24" customWidth="1"/>
    <col min="15" max="15" width="17.88671875" style="17" bestFit="1" customWidth="1"/>
    <col min="16" max="16" width="22.33203125" style="24" bestFit="1" customWidth="1"/>
    <col min="17" max="17" width="22.33203125" style="17" customWidth="1"/>
    <col min="18" max="18" width="15.44140625" style="17" customWidth="1"/>
    <col min="19" max="19" width="11.6640625" style="17" bestFit="1" customWidth="1"/>
    <col min="20" max="16384" width="9.109375" style="17"/>
  </cols>
  <sheetData>
    <row r="1" spans="1:18" s="3" customFormat="1" ht="30.75" customHeight="1" x14ac:dyDescent="0.3">
      <c r="A1" s="25" t="s">
        <v>0</v>
      </c>
      <c r="B1" s="1" t="s">
        <v>1</v>
      </c>
      <c r="C1" s="26"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row>
    <row r="2" spans="1:18" s="6" customFormat="1" ht="30.75" customHeight="1" x14ac:dyDescent="0.3">
      <c r="A2" s="25"/>
      <c r="B2" s="4" t="s">
        <v>18</v>
      </c>
      <c r="C2" s="27"/>
      <c r="D2" s="4" t="s">
        <v>19</v>
      </c>
      <c r="E2" s="5" t="s">
        <v>20</v>
      </c>
      <c r="F2" s="4" t="s">
        <v>21</v>
      </c>
      <c r="G2" s="4" t="s">
        <v>22</v>
      </c>
      <c r="H2" s="4" t="s">
        <v>23</v>
      </c>
      <c r="I2" s="4" t="s">
        <v>24</v>
      </c>
      <c r="J2" s="4" t="s">
        <v>25</v>
      </c>
      <c r="K2" s="4" t="s">
        <v>26</v>
      </c>
      <c r="L2" s="4" t="s">
        <v>27</v>
      </c>
      <c r="M2" s="4" t="s">
        <v>28</v>
      </c>
      <c r="N2" s="4" t="s">
        <v>29</v>
      </c>
      <c r="O2" s="4" t="s">
        <v>30</v>
      </c>
      <c r="P2" s="4" t="s">
        <v>31</v>
      </c>
      <c r="Q2" s="4" t="s">
        <v>32</v>
      </c>
      <c r="R2" s="4" t="s">
        <v>33</v>
      </c>
    </row>
    <row r="3" spans="1:18" ht="114" x14ac:dyDescent="0.3">
      <c r="A3" s="7" t="str">
        <f t="shared" ref="A3:A21" si="0">$B3&amp;"/"&amp;$C3</f>
        <v>High Priority/Approved by PO</v>
      </c>
      <c r="B3" s="8" t="s">
        <v>34</v>
      </c>
      <c r="C3" s="9" t="s">
        <v>35</v>
      </c>
      <c r="D3" s="8" t="str">
        <f t="shared" ref="D3:D21" si="1">"NL_RS_"&amp;ROW()-2</f>
        <v>NL_RS_1</v>
      </c>
      <c r="E3" s="10">
        <v>46234</v>
      </c>
      <c r="F3" s="8" t="s">
        <v>36</v>
      </c>
      <c r="G3" s="11" t="s">
        <v>37</v>
      </c>
      <c r="H3" s="12" t="s">
        <v>38</v>
      </c>
      <c r="I3" s="8" t="s">
        <v>39</v>
      </c>
      <c r="J3" s="12" t="s">
        <v>40</v>
      </c>
      <c r="K3" s="13" t="s">
        <v>41</v>
      </c>
      <c r="L3" s="13" t="s">
        <v>42</v>
      </c>
      <c r="M3" s="14" t="s">
        <v>43</v>
      </c>
      <c r="N3" s="12" t="s">
        <v>44</v>
      </c>
      <c r="O3" s="15" t="s">
        <v>45</v>
      </c>
      <c r="P3" s="13"/>
      <c r="Q3" s="8"/>
      <c r="R3" s="16"/>
    </row>
    <row r="4" spans="1:18" ht="57" x14ac:dyDescent="0.3">
      <c r="A4" s="7" t="str">
        <f t="shared" si="0"/>
        <v>High Priority/Approved by PO</v>
      </c>
      <c r="B4" s="8" t="s">
        <v>34</v>
      </c>
      <c r="C4" s="9" t="s">
        <v>35</v>
      </c>
      <c r="D4" s="8" t="str">
        <f t="shared" si="1"/>
        <v>NL_RS_2</v>
      </c>
      <c r="E4" s="10">
        <v>46234</v>
      </c>
      <c r="F4" s="8" t="s">
        <v>46</v>
      </c>
      <c r="G4" s="11" t="s">
        <v>47</v>
      </c>
      <c r="H4" s="13" t="s">
        <v>38</v>
      </c>
      <c r="I4" s="8" t="s">
        <v>48</v>
      </c>
      <c r="J4" s="13" t="s">
        <v>49</v>
      </c>
      <c r="K4" s="13" t="s">
        <v>41</v>
      </c>
      <c r="L4" s="13" t="s">
        <v>50</v>
      </c>
      <c r="M4" s="13" t="s">
        <v>51</v>
      </c>
      <c r="N4" s="13" t="s">
        <v>52</v>
      </c>
      <c r="O4" s="15" t="s">
        <v>45</v>
      </c>
      <c r="P4" s="13"/>
      <c r="Q4" s="8"/>
      <c r="R4" s="16"/>
    </row>
    <row r="5" spans="1:18" ht="57" x14ac:dyDescent="0.3">
      <c r="A5" s="7" t="str">
        <f t="shared" si="0"/>
        <v>High Priority/Approved by PO</v>
      </c>
      <c r="B5" s="8" t="s">
        <v>34</v>
      </c>
      <c r="C5" s="9" t="s">
        <v>35</v>
      </c>
      <c r="D5" s="8" t="str">
        <f t="shared" si="1"/>
        <v>NL_RS_3</v>
      </c>
      <c r="E5" s="10">
        <v>46234</v>
      </c>
      <c r="F5" s="8" t="s">
        <v>46</v>
      </c>
      <c r="G5" s="11" t="s">
        <v>53</v>
      </c>
      <c r="H5" s="8" t="s">
        <v>54</v>
      </c>
      <c r="I5" s="8" t="s">
        <v>55</v>
      </c>
      <c r="J5" s="13" t="s">
        <v>49</v>
      </c>
      <c r="K5" s="13" t="s">
        <v>41</v>
      </c>
      <c r="L5" s="13" t="s">
        <v>50</v>
      </c>
      <c r="M5" s="13" t="s">
        <v>56</v>
      </c>
      <c r="N5" s="13" t="s">
        <v>57</v>
      </c>
      <c r="O5" s="15" t="s">
        <v>45</v>
      </c>
      <c r="P5" s="13"/>
      <c r="Q5" s="8"/>
      <c r="R5" s="16"/>
    </row>
    <row r="6" spans="1:18" ht="91.2" x14ac:dyDescent="0.3">
      <c r="A6" s="7" t="str">
        <f t="shared" si="0"/>
        <v>High Priority/Approved by PO</v>
      </c>
      <c r="B6" s="8" t="s">
        <v>34</v>
      </c>
      <c r="C6" s="9" t="s">
        <v>35</v>
      </c>
      <c r="D6" s="8" t="str">
        <f t="shared" si="1"/>
        <v>NL_RS_4</v>
      </c>
      <c r="E6" s="10">
        <v>46234</v>
      </c>
      <c r="F6" s="8" t="s">
        <v>36</v>
      </c>
      <c r="G6" s="11" t="s">
        <v>58</v>
      </c>
      <c r="H6" s="13" t="s">
        <v>38</v>
      </c>
      <c r="I6" s="8" t="s">
        <v>48</v>
      </c>
      <c r="J6" s="13" t="s">
        <v>59</v>
      </c>
      <c r="K6" s="13" t="s">
        <v>41</v>
      </c>
      <c r="L6" s="13" t="s">
        <v>42</v>
      </c>
      <c r="M6" s="12" t="s">
        <v>60</v>
      </c>
      <c r="N6" s="12" t="s">
        <v>61</v>
      </c>
      <c r="O6" s="15" t="s">
        <v>45</v>
      </c>
      <c r="P6" s="13"/>
      <c r="Q6" s="8"/>
      <c r="R6" s="16"/>
    </row>
    <row r="7" spans="1:18" ht="105" customHeight="1" x14ac:dyDescent="0.3">
      <c r="A7" s="7" t="str">
        <f t="shared" si="0"/>
        <v>High Priority/Approved by PO</v>
      </c>
      <c r="B7" s="8" t="s">
        <v>34</v>
      </c>
      <c r="C7" s="9" t="s">
        <v>35</v>
      </c>
      <c r="D7" s="8" t="str">
        <f t="shared" si="1"/>
        <v>NL_RS_5</v>
      </c>
      <c r="E7" s="10">
        <v>46234</v>
      </c>
      <c r="F7" s="8" t="s">
        <v>62</v>
      </c>
      <c r="G7" s="8" t="s">
        <v>63</v>
      </c>
      <c r="H7" s="8" t="s">
        <v>54</v>
      </c>
      <c r="I7" s="8" t="s">
        <v>64</v>
      </c>
      <c r="J7" s="13" t="s">
        <v>65</v>
      </c>
      <c r="K7" s="13" t="s">
        <v>66</v>
      </c>
      <c r="L7" s="13" t="s">
        <v>67</v>
      </c>
      <c r="M7" s="12" t="s">
        <v>68</v>
      </c>
      <c r="N7" s="12" t="s">
        <v>69</v>
      </c>
      <c r="O7" s="15" t="s">
        <v>45</v>
      </c>
      <c r="P7" s="13"/>
      <c r="Q7" s="8"/>
      <c r="R7" s="16"/>
    </row>
    <row r="8" spans="1:18" ht="108.75" customHeight="1" x14ac:dyDescent="0.3">
      <c r="A8" s="7" t="str">
        <f t="shared" si="0"/>
        <v>High Priority/Approved by PO</v>
      </c>
      <c r="B8" s="8" t="s">
        <v>34</v>
      </c>
      <c r="C8" s="9" t="s">
        <v>35</v>
      </c>
      <c r="D8" s="8" t="str">
        <f t="shared" si="1"/>
        <v>NL_RS_6</v>
      </c>
      <c r="E8" s="10">
        <v>46234</v>
      </c>
      <c r="F8" s="8" t="s">
        <v>70</v>
      </c>
      <c r="G8" s="8" t="s">
        <v>71</v>
      </c>
      <c r="H8" s="8" t="s">
        <v>72</v>
      </c>
      <c r="I8" s="8" t="s">
        <v>64</v>
      </c>
      <c r="J8" s="13" t="s">
        <v>73</v>
      </c>
      <c r="K8" s="13" t="s">
        <v>74</v>
      </c>
      <c r="L8" s="13" t="s">
        <v>75</v>
      </c>
      <c r="M8" s="12" t="s">
        <v>76</v>
      </c>
      <c r="N8" s="12" t="s">
        <v>77</v>
      </c>
      <c r="O8" s="18" t="s">
        <v>45</v>
      </c>
      <c r="P8" s="13"/>
      <c r="Q8" s="13"/>
      <c r="R8" s="16"/>
    </row>
    <row r="9" spans="1:18" ht="66" customHeight="1" x14ac:dyDescent="0.3">
      <c r="A9" s="7" t="str">
        <f t="shared" si="0"/>
        <v>High Priority/Approved by PO</v>
      </c>
      <c r="B9" s="8" t="s">
        <v>34</v>
      </c>
      <c r="C9" s="9" t="s">
        <v>35</v>
      </c>
      <c r="D9" s="8" t="str">
        <f t="shared" si="1"/>
        <v>NL_RS_7</v>
      </c>
      <c r="E9" s="10">
        <v>46234</v>
      </c>
      <c r="F9" s="8" t="s">
        <v>78</v>
      </c>
      <c r="G9" s="8" t="s">
        <v>79</v>
      </c>
      <c r="H9" s="8" t="s">
        <v>80</v>
      </c>
      <c r="I9" s="8" t="s">
        <v>64</v>
      </c>
      <c r="J9" s="13" t="s">
        <v>81</v>
      </c>
      <c r="K9" s="13" t="s">
        <v>82</v>
      </c>
      <c r="L9" s="13" t="s">
        <v>83</v>
      </c>
      <c r="M9" s="12" t="s">
        <v>84</v>
      </c>
      <c r="N9" s="13" t="s">
        <v>85</v>
      </c>
      <c r="O9" s="18" t="s">
        <v>45</v>
      </c>
      <c r="P9" s="13"/>
      <c r="Q9" s="13"/>
      <c r="R9" s="16"/>
    </row>
    <row r="10" spans="1:18" ht="79.8" x14ac:dyDescent="0.3">
      <c r="A10" s="7" t="str">
        <f t="shared" si="0"/>
        <v>High Priority/Approved by PO</v>
      </c>
      <c r="B10" s="8" t="s">
        <v>34</v>
      </c>
      <c r="C10" s="9" t="s">
        <v>35</v>
      </c>
      <c r="D10" s="8" t="str">
        <f t="shared" si="1"/>
        <v>NL_RS_8</v>
      </c>
      <c r="E10" s="10">
        <v>46234</v>
      </c>
      <c r="F10" s="8" t="s">
        <v>86</v>
      </c>
      <c r="G10" s="8" t="s">
        <v>87</v>
      </c>
      <c r="H10" s="13" t="s">
        <v>38</v>
      </c>
      <c r="I10" s="8" t="s">
        <v>48</v>
      </c>
      <c r="J10" s="13" t="s">
        <v>88</v>
      </c>
      <c r="K10" s="13" t="s">
        <v>41</v>
      </c>
      <c r="L10" s="13" t="s">
        <v>89</v>
      </c>
      <c r="M10" s="13" t="s">
        <v>90</v>
      </c>
      <c r="N10" s="12" t="s">
        <v>91</v>
      </c>
      <c r="O10" s="18" t="s">
        <v>45</v>
      </c>
      <c r="P10" s="13"/>
      <c r="Q10" s="13"/>
      <c r="R10" s="16"/>
    </row>
    <row r="11" spans="1:18" ht="68.400000000000006" x14ac:dyDescent="0.3">
      <c r="A11" s="7" t="str">
        <f t="shared" si="0"/>
        <v>High Priority/Approved by PO</v>
      </c>
      <c r="B11" s="8" t="s">
        <v>34</v>
      </c>
      <c r="C11" s="9" t="s">
        <v>35</v>
      </c>
      <c r="D11" s="8" t="str">
        <f t="shared" si="1"/>
        <v>NL_RS_9</v>
      </c>
      <c r="E11" s="10">
        <v>46234</v>
      </c>
      <c r="F11" s="8" t="s">
        <v>86</v>
      </c>
      <c r="G11" s="11" t="s">
        <v>92</v>
      </c>
      <c r="H11" s="8" t="s">
        <v>54</v>
      </c>
      <c r="I11" s="8" t="s">
        <v>55</v>
      </c>
      <c r="J11" s="13" t="s">
        <v>93</v>
      </c>
      <c r="K11" s="13" t="s">
        <v>41</v>
      </c>
      <c r="L11" s="13" t="s">
        <v>89</v>
      </c>
      <c r="M11" s="13" t="s">
        <v>56</v>
      </c>
      <c r="N11" s="12" t="s">
        <v>94</v>
      </c>
      <c r="O11" s="18" t="s">
        <v>45</v>
      </c>
      <c r="P11" s="13"/>
      <c r="Q11" s="13"/>
      <c r="R11" s="16"/>
    </row>
    <row r="12" spans="1:18" ht="91.2" x14ac:dyDescent="0.3">
      <c r="A12" s="7" t="str">
        <f t="shared" si="0"/>
        <v>High Priority/Approved by PO</v>
      </c>
      <c r="B12" s="8" t="s">
        <v>34</v>
      </c>
      <c r="C12" s="9" t="s">
        <v>35</v>
      </c>
      <c r="D12" s="8" t="str">
        <f t="shared" si="1"/>
        <v>NL_RS_10</v>
      </c>
      <c r="E12" s="10">
        <v>46234</v>
      </c>
      <c r="F12" s="8" t="s">
        <v>95</v>
      </c>
      <c r="G12" s="11" t="s">
        <v>96</v>
      </c>
      <c r="H12" s="13" t="s">
        <v>38</v>
      </c>
      <c r="I12" s="8" t="s">
        <v>48</v>
      </c>
      <c r="J12" s="12" t="s">
        <v>97</v>
      </c>
      <c r="K12" s="13" t="s">
        <v>41</v>
      </c>
      <c r="L12" s="13" t="s">
        <v>42</v>
      </c>
      <c r="M12" s="12" t="s">
        <v>98</v>
      </c>
      <c r="N12" s="12" t="s">
        <v>99</v>
      </c>
      <c r="O12" s="18" t="s">
        <v>45</v>
      </c>
      <c r="P12" s="13"/>
      <c r="Q12" s="13"/>
      <c r="R12" s="16"/>
    </row>
    <row r="13" spans="1:18" ht="183" customHeight="1" x14ac:dyDescent="0.3">
      <c r="A13" s="7" t="str">
        <f t="shared" si="0"/>
        <v>High Priority/Approved by PO</v>
      </c>
      <c r="B13" s="8" t="s">
        <v>34</v>
      </c>
      <c r="C13" s="9" t="s">
        <v>35</v>
      </c>
      <c r="D13" s="8" t="str">
        <f t="shared" si="1"/>
        <v>NL_RS_11</v>
      </c>
      <c r="E13" s="10">
        <v>46234</v>
      </c>
      <c r="F13" s="8" t="s">
        <v>100</v>
      </c>
      <c r="G13" s="11" t="s">
        <v>101</v>
      </c>
      <c r="H13" s="13" t="s">
        <v>38</v>
      </c>
      <c r="I13" s="8" t="s">
        <v>48</v>
      </c>
      <c r="J13" s="12" t="s">
        <v>102</v>
      </c>
      <c r="K13" s="13" t="s">
        <v>41</v>
      </c>
      <c r="L13" s="13" t="s">
        <v>103</v>
      </c>
      <c r="M13" s="12" t="s">
        <v>104</v>
      </c>
      <c r="N13" s="12" t="s">
        <v>105</v>
      </c>
      <c r="O13" s="18" t="s">
        <v>45</v>
      </c>
      <c r="P13" s="13"/>
      <c r="Q13" s="13"/>
      <c r="R13" s="19"/>
    </row>
    <row r="14" spans="1:18" ht="114" x14ac:dyDescent="0.3">
      <c r="A14" s="7" t="str">
        <f t="shared" si="0"/>
        <v>High Priority/Approved by PO</v>
      </c>
      <c r="B14" s="8" t="s">
        <v>34</v>
      </c>
      <c r="C14" s="9" t="s">
        <v>35</v>
      </c>
      <c r="D14" s="8" t="str">
        <f t="shared" si="1"/>
        <v>NL_RS_12</v>
      </c>
      <c r="E14" s="10">
        <v>46234</v>
      </c>
      <c r="F14" s="8" t="s">
        <v>100</v>
      </c>
      <c r="G14" s="8" t="s">
        <v>106</v>
      </c>
      <c r="H14" s="8" t="s">
        <v>54</v>
      </c>
      <c r="I14" s="8" t="s">
        <v>55</v>
      </c>
      <c r="J14" s="12" t="s">
        <v>102</v>
      </c>
      <c r="K14" s="13" t="s">
        <v>41</v>
      </c>
      <c r="L14" s="13" t="s">
        <v>103</v>
      </c>
      <c r="M14" s="12" t="s">
        <v>107</v>
      </c>
      <c r="N14" s="12" t="s">
        <v>94</v>
      </c>
      <c r="O14" s="18" t="s">
        <v>45</v>
      </c>
      <c r="P14" s="13"/>
      <c r="Q14" s="13"/>
      <c r="R14" s="19"/>
    </row>
    <row r="15" spans="1:18" ht="177" customHeight="1" x14ac:dyDescent="0.3">
      <c r="A15" s="7" t="str">
        <f t="shared" si="0"/>
        <v>High Priority/Approved by PO</v>
      </c>
      <c r="B15" s="8" t="s">
        <v>34</v>
      </c>
      <c r="C15" s="9" t="s">
        <v>35</v>
      </c>
      <c r="D15" s="8" t="str">
        <f t="shared" si="1"/>
        <v>NL_RS_13</v>
      </c>
      <c r="E15" s="10">
        <v>46234</v>
      </c>
      <c r="F15" s="8" t="s">
        <v>108</v>
      </c>
      <c r="G15" s="11" t="s">
        <v>109</v>
      </c>
      <c r="H15" s="13" t="s">
        <v>38</v>
      </c>
      <c r="I15" s="8" t="s">
        <v>48</v>
      </c>
      <c r="J15" s="12" t="s">
        <v>110</v>
      </c>
      <c r="K15" s="13" t="s">
        <v>41</v>
      </c>
      <c r="L15" s="13" t="s">
        <v>111</v>
      </c>
      <c r="M15" s="12" t="s">
        <v>112</v>
      </c>
      <c r="N15" s="12" t="s">
        <v>113</v>
      </c>
      <c r="O15" s="18" t="s">
        <v>45</v>
      </c>
      <c r="P15" s="13"/>
      <c r="Q15" s="13"/>
      <c r="R15" s="16"/>
    </row>
    <row r="16" spans="1:18" ht="114" x14ac:dyDescent="0.3">
      <c r="A16" s="7" t="str">
        <f t="shared" si="0"/>
        <v>High Priority/Approved by PO</v>
      </c>
      <c r="B16" s="8" t="s">
        <v>34</v>
      </c>
      <c r="C16" s="9" t="s">
        <v>35</v>
      </c>
      <c r="D16" s="8" t="str">
        <f t="shared" si="1"/>
        <v>NL_RS_14</v>
      </c>
      <c r="E16" s="10">
        <v>46235</v>
      </c>
      <c r="F16" s="8" t="s">
        <v>108</v>
      </c>
      <c r="G16" s="11" t="s">
        <v>114</v>
      </c>
      <c r="H16" s="8" t="s">
        <v>54</v>
      </c>
      <c r="I16" s="8" t="s">
        <v>55</v>
      </c>
      <c r="J16" s="12" t="s">
        <v>110</v>
      </c>
      <c r="K16" s="13" t="s">
        <v>41</v>
      </c>
      <c r="L16" s="13" t="s">
        <v>111</v>
      </c>
      <c r="M16" s="12" t="s">
        <v>115</v>
      </c>
      <c r="N16" s="12" t="s">
        <v>116</v>
      </c>
      <c r="O16" s="18" t="s">
        <v>45</v>
      </c>
      <c r="P16" s="13"/>
      <c r="Q16" s="13"/>
      <c r="R16" s="16"/>
    </row>
    <row r="17" spans="1:18" ht="125.4" x14ac:dyDescent="0.3">
      <c r="A17" s="7" t="str">
        <f t="shared" si="0"/>
        <v>High Priority/Approved by PO</v>
      </c>
      <c r="B17" s="8" t="s">
        <v>34</v>
      </c>
      <c r="C17" s="9" t="s">
        <v>35</v>
      </c>
      <c r="D17" s="8" t="str">
        <f t="shared" si="1"/>
        <v>NL_RS_15</v>
      </c>
      <c r="E17" s="10">
        <v>46234</v>
      </c>
      <c r="F17" s="8" t="s">
        <v>117</v>
      </c>
      <c r="G17" s="11" t="s">
        <v>118</v>
      </c>
      <c r="H17" s="13" t="s">
        <v>38</v>
      </c>
      <c r="I17" s="8" t="s">
        <v>48</v>
      </c>
      <c r="J17" s="12" t="s">
        <v>119</v>
      </c>
      <c r="K17" s="13" t="s">
        <v>41</v>
      </c>
      <c r="L17" s="13" t="s">
        <v>120</v>
      </c>
      <c r="M17" s="12" t="s">
        <v>121</v>
      </c>
      <c r="N17" s="12" t="s">
        <v>122</v>
      </c>
      <c r="O17" s="18" t="s">
        <v>45</v>
      </c>
      <c r="P17" s="13"/>
      <c r="Q17" s="13"/>
      <c r="R17" s="16"/>
    </row>
    <row r="18" spans="1:18" ht="114" x14ac:dyDescent="0.3">
      <c r="A18" s="7" t="str">
        <f t="shared" si="0"/>
        <v>High Priority/Approved by PO</v>
      </c>
      <c r="B18" s="8" t="s">
        <v>34</v>
      </c>
      <c r="C18" s="9" t="s">
        <v>35</v>
      </c>
      <c r="D18" s="8" t="str">
        <f t="shared" si="1"/>
        <v>NL_RS_16</v>
      </c>
      <c r="E18" s="10">
        <v>46234</v>
      </c>
      <c r="F18" s="8" t="s">
        <v>117</v>
      </c>
      <c r="G18" s="11" t="s">
        <v>123</v>
      </c>
      <c r="H18" s="8" t="s">
        <v>54</v>
      </c>
      <c r="I18" s="8" t="s">
        <v>55</v>
      </c>
      <c r="J18" s="12" t="s">
        <v>119</v>
      </c>
      <c r="K18" s="13" t="s">
        <v>41</v>
      </c>
      <c r="L18" s="13" t="s">
        <v>120</v>
      </c>
      <c r="M18" s="12" t="s">
        <v>124</v>
      </c>
      <c r="N18" s="12" t="s">
        <v>116</v>
      </c>
      <c r="O18" s="18" t="s">
        <v>45</v>
      </c>
      <c r="P18" s="13"/>
      <c r="Q18" s="13"/>
      <c r="R18" s="16"/>
    </row>
    <row r="19" spans="1:18" s="21" customFormat="1" ht="171" x14ac:dyDescent="0.3">
      <c r="A19" s="7" t="str">
        <f t="shared" si="0"/>
        <v>Not to be tested/Review ongoing</v>
      </c>
      <c r="B19" s="8" t="s">
        <v>125</v>
      </c>
      <c r="C19" s="9" t="s">
        <v>126</v>
      </c>
      <c r="D19" s="8" t="str">
        <f t="shared" si="1"/>
        <v>NL_RS_17</v>
      </c>
      <c r="E19" s="10">
        <v>46234</v>
      </c>
      <c r="F19" s="8" t="s">
        <v>127</v>
      </c>
      <c r="G19" s="8" t="s">
        <v>128</v>
      </c>
      <c r="H19" s="8" t="s">
        <v>54</v>
      </c>
      <c r="I19" s="8" t="s">
        <v>48</v>
      </c>
      <c r="J19" s="12" t="s">
        <v>129</v>
      </c>
      <c r="K19" s="13" t="s">
        <v>41</v>
      </c>
      <c r="L19" s="13" t="s">
        <v>120</v>
      </c>
      <c r="M19" s="12" t="s">
        <v>130</v>
      </c>
      <c r="N19" s="12" t="s">
        <v>131</v>
      </c>
      <c r="O19" s="18" t="s">
        <v>45</v>
      </c>
      <c r="P19" s="20"/>
      <c r="Q19" s="20"/>
      <c r="R19" s="19"/>
    </row>
    <row r="20" spans="1:18" s="21" customFormat="1" ht="171" x14ac:dyDescent="0.3">
      <c r="A20" s="7" t="str">
        <f t="shared" si="0"/>
        <v>Not to be tested/Review ongoing</v>
      </c>
      <c r="B20" s="8" t="s">
        <v>125</v>
      </c>
      <c r="C20" s="9" t="s">
        <v>126</v>
      </c>
      <c r="D20" s="8" t="str">
        <f t="shared" si="1"/>
        <v>NL_RS_18</v>
      </c>
      <c r="E20" s="10">
        <v>46234</v>
      </c>
      <c r="F20" s="8" t="s">
        <v>127</v>
      </c>
      <c r="G20" s="8" t="s">
        <v>128</v>
      </c>
      <c r="H20" s="8" t="s">
        <v>54</v>
      </c>
      <c r="I20" s="8" t="s">
        <v>55</v>
      </c>
      <c r="J20" s="12" t="s">
        <v>129</v>
      </c>
      <c r="K20" s="13" t="s">
        <v>41</v>
      </c>
      <c r="L20" s="13" t="s">
        <v>120</v>
      </c>
      <c r="M20" s="12" t="s">
        <v>132</v>
      </c>
      <c r="N20" s="12" t="s">
        <v>133</v>
      </c>
      <c r="O20" s="18" t="s">
        <v>45</v>
      </c>
      <c r="P20" s="20"/>
      <c r="Q20" s="20"/>
      <c r="R20" s="19"/>
    </row>
    <row r="21" spans="1:18" ht="114" x14ac:dyDescent="0.3">
      <c r="A21" s="7" t="str">
        <f t="shared" si="0"/>
        <v>High Priority/Approved by PO</v>
      </c>
      <c r="B21" s="8" t="s">
        <v>34</v>
      </c>
      <c r="C21" s="9" t="s">
        <v>35</v>
      </c>
      <c r="D21" s="8" t="str">
        <f t="shared" si="1"/>
        <v>NL_RS_19</v>
      </c>
      <c r="E21" s="10">
        <v>46234</v>
      </c>
      <c r="F21" s="8" t="s">
        <v>134</v>
      </c>
      <c r="G21" s="8" t="s">
        <v>135</v>
      </c>
      <c r="H21" s="13" t="s">
        <v>38</v>
      </c>
      <c r="I21" s="8" t="s">
        <v>48</v>
      </c>
      <c r="J21" s="12" t="s">
        <v>136</v>
      </c>
      <c r="K21" s="13" t="s">
        <v>41</v>
      </c>
      <c r="L21" s="13" t="s">
        <v>137</v>
      </c>
      <c r="M21" s="13" t="s">
        <v>138</v>
      </c>
      <c r="N21" s="13" t="s">
        <v>139</v>
      </c>
      <c r="O21" s="18" t="s">
        <v>45</v>
      </c>
      <c r="P21" s="20"/>
      <c r="Q21" s="13"/>
      <c r="R21" s="16"/>
    </row>
  </sheetData>
  <autoFilter ref="A1:R21" xr:uid="{9513F355-325A-4D42-BA3A-746E83327F7D}"/>
  <mergeCells count="2">
    <mergeCell ref="A1:A2"/>
    <mergeCell ref="C1:C2"/>
  </mergeCells>
  <phoneticPr fontId="1" type="noConversion"/>
  <conditionalFormatting sqref="O3:O21">
    <cfRule type="cellIs" dxfId="5" priority="1" operator="equal">
      <formula>"To do"</formula>
    </cfRule>
    <cfRule type="cellIs" dxfId="4" priority="2" operator="equal">
      <formula>"N/A"</formula>
    </cfRule>
    <cfRule type="cellIs" dxfId="3" priority="3" operator="equal">
      <formula>"Blocked"</formula>
    </cfRule>
    <cfRule type="cellIs" dxfId="2" priority="4" operator="equal">
      <formula>"On Hold"</formula>
    </cfRule>
    <cfRule type="cellIs" dxfId="1" priority="5" operator="equal">
      <formula>"Passed"</formula>
    </cfRule>
    <cfRule type="cellIs" dxfId="0" priority="6" operator="equal">
      <formula>"Failed"</formula>
    </cfRule>
  </conditionalFormatting>
  <dataValidations count="4">
    <dataValidation type="date" allowBlank="1" showInputMessage="1" showErrorMessage="1" sqref="Q1 Q3:Q1048576" xr:uid="{5B852534-3FA7-45F6-AF6E-7B3FCEEC6F3B}">
      <formula1>46086</formula1>
      <formula2>46234</formula2>
    </dataValidation>
    <dataValidation type="list" allowBlank="1" showInputMessage="1" showErrorMessage="1" sqref="O3:O21" xr:uid="{ABE609E6-C6ED-49BF-A9FF-257A003B14ED}">
      <formula1>"To Do, Passed, Failed, On Hold, N/A, Blocked"</formula1>
    </dataValidation>
    <dataValidation type="list" allowBlank="1" showInputMessage="1" showErrorMessage="1" sqref="B3:B21" xr:uid="{EEBA5C67-9782-41A5-B52D-65DC7A00FE18}">
      <formula1>Priority</formula1>
    </dataValidation>
    <dataValidation type="list" allowBlank="1" showInputMessage="1" showErrorMessage="1" sqref="C1 C3:C1048576" xr:uid="{7C5B7BA8-26E4-4DC0-A146-FD7AD7841BD9}">
      <formula1>"Under construction, Review ongoing, Approved by PO"</formula1>
    </dataValidation>
  </dataValidations>
  <pageMargins left="0.7" right="0.7" top="0.75" bottom="0.75" header="0.3" footer="0.3"/>
  <pageSetup paperSize="8"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FB619BED06E1489613C5ECA7EAFABF" ma:contentTypeVersion="12" ma:contentTypeDescription="Create a new document." ma:contentTypeScope="" ma:versionID="bbce5bba2ee56c5894d051f5eb67db7e">
  <xsd:schema xmlns:xsd="http://www.w3.org/2001/XMLSchema" xmlns:xs="http://www.w3.org/2001/XMLSchema" xmlns:p="http://schemas.microsoft.com/office/2006/metadata/properties" xmlns:ns2="845aad34-1f17-48e0-9448-411e5565d2f0" xmlns:ns3="dbd0fd41-a690-4c36-a9a4-b75ba9f0d652" targetNamespace="http://schemas.microsoft.com/office/2006/metadata/properties" ma:root="true" ma:fieldsID="a639effef2c19a8b0423102411451b29" ns2:_="" ns3:_="">
    <xsd:import namespace="845aad34-1f17-48e0-9448-411e5565d2f0"/>
    <xsd:import namespace="dbd0fd41-a690-4c36-a9a4-b75ba9f0d6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5aad34-1f17-48e0-9448-411e5565d2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d0fd41-a690-4c36-a9a4-b75ba9f0d65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8827ec9-78a5-473b-8273-0c2c4dc10778}" ma:internalName="TaxCatchAll" ma:showField="CatchAllData" ma:web="dbd0fd41-a690-4c36-a9a4-b75ba9f0d6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bd0fd41-a690-4c36-a9a4-b75ba9f0d652" xsi:nil="true"/>
    <lcf76f155ced4ddcb4097134ff3c332f xmlns="845aad34-1f17-48e0-9448-411e5565d2f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C1209A-E664-4AEE-8B21-D41B9121DB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5aad34-1f17-48e0-9448-411e5565d2f0"/>
    <ds:schemaRef ds:uri="dbd0fd41-a690-4c36-a9a4-b75ba9f0d6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AD45BE-2AD7-4D43-931C-EB37D35E9793}">
  <ds:schemaRefs>
    <ds:schemaRef ds:uri="http://www.w3.org/XML/1998/namespace"/>
    <ds:schemaRef ds:uri="845aad34-1f17-48e0-9448-411e5565d2f0"/>
    <ds:schemaRef ds:uri="http://schemas.microsoft.com/office/2006/documentManagement/types"/>
    <ds:schemaRef ds:uri="http://purl.org/dc/terms/"/>
    <ds:schemaRef ds:uri="dbd0fd41-a690-4c36-a9a4-b75ba9f0d652"/>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5A899714-BB64-4378-9DC8-C436A675AD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DRS</vt:lpstr>
      <vt:lpstr>Priority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Anne-Frédérique Madouasse - Contractor</dc:creator>
  <cp:keywords/>
  <dc:description/>
  <cp:lastModifiedBy>Anne-Frédérique Madouasse - Contractor</cp:lastModifiedBy>
  <cp:revision/>
  <dcterms:created xsi:type="dcterms:W3CDTF">2026-01-08T06:55:04Z</dcterms:created>
  <dcterms:modified xsi:type="dcterms:W3CDTF">2026-01-22T13:56:45Z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0b9ce6-6e99-42a1-af95-429494370cbc_Enabled">
    <vt:lpwstr>true</vt:lpwstr>
  </property>
  <property fmtid="{D5CDD505-2E9C-101B-9397-08002B2CF9AE}" pid="3" name="MSIP_Label_ac0b9ce6-6e99-42a1-af95-429494370cbc_SetDate">
    <vt:lpwstr>2026-01-08T06:55:09Z</vt:lpwstr>
  </property>
  <property fmtid="{D5CDD505-2E9C-101B-9397-08002B2CF9AE}" pid="4" name="MSIP_Label_ac0b9ce6-6e99-42a1-af95-429494370cbc_Method">
    <vt:lpwstr>Standard</vt:lpwstr>
  </property>
  <property fmtid="{D5CDD505-2E9C-101B-9397-08002B2CF9AE}" pid="5" name="MSIP_Label_ac0b9ce6-6e99-42a1-af95-429494370cbc_Name">
    <vt:lpwstr>ac0b9ce6-6e99-42a1-af95-429494370cbc</vt:lpwstr>
  </property>
  <property fmtid="{D5CDD505-2E9C-101B-9397-08002B2CF9AE}" pid="6" name="MSIP_Label_ac0b9ce6-6e99-42a1-af95-429494370cbc_SiteId">
    <vt:lpwstr>315b1ee5-c224-498b-871e-c140611d6d07</vt:lpwstr>
  </property>
  <property fmtid="{D5CDD505-2E9C-101B-9397-08002B2CF9AE}" pid="7" name="MSIP_Label_ac0b9ce6-6e99-42a1-af95-429494370cbc_ActionId">
    <vt:lpwstr>8e7509ef-8b9a-4a6d-8a9d-cab1bbd393e9</vt:lpwstr>
  </property>
  <property fmtid="{D5CDD505-2E9C-101B-9397-08002B2CF9AE}" pid="8" name="MSIP_Label_ac0b9ce6-6e99-42a1-af95-429494370cbc_ContentBits">
    <vt:lpwstr>2</vt:lpwstr>
  </property>
  <property fmtid="{D5CDD505-2E9C-101B-9397-08002B2CF9AE}" pid="9" name="MSIP_Label_ac0b9ce6-6e99-42a1-af95-429494370cbc_Tag">
    <vt:lpwstr>10, 3, 0, 2</vt:lpwstr>
  </property>
  <property fmtid="{D5CDD505-2E9C-101B-9397-08002B2CF9AE}" pid="10" name="ContentTypeId">
    <vt:lpwstr>0x01010084FB619BED06E1489613C5ECA7EAFABF</vt:lpwstr>
  </property>
  <property fmtid="{D5CDD505-2E9C-101B-9397-08002B2CF9AE}" pid="11" name="MediaServiceImageTags">
    <vt:lpwstr/>
  </property>
</Properties>
</file>