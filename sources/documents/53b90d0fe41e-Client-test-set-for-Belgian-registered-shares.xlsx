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11"/>
  <workbookPr/>
  <mc:AlternateContent xmlns:mc="http://schemas.openxmlformats.org/markup-compatibility/2006">
    <mc:Choice Requires="x15">
      <x15ac:absPath xmlns:x15ac="http://schemas.microsoft.com/office/spreadsheetml/2010/11/ac" url="https://euronext.sharepoint.com/sites/Europeanexpansion/Shared Documents/General/11. Test Pack/001. Work in Progress/Client Test Pack/Client Test Pack for Belgian Registered Shares/"/>
    </mc:Choice>
  </mc:AlternateContent>
  <xr:revisionPtr revIDLastSave="0" documentId="8_{F8E800EC-42D1-468E-8652-554E387D46C1}" xr6:coauthVersionLast="47" xr6:coauthVersionMax="47" xr10:uidLastSave="{00000000-0000-0000-0000-000000000000}"/>
  <bookViews>
    <workbookView xWindow="28680" yWindow="-120" windowWidth="29040" windowHeight="15720" xr2:uid="{00000000-000D-0000-FFFF-FFFF00000000}"/>
  </bookViews>
  <sheets>
    <sheet name="BRS" sheetId="2" r:id="rId1"/>
  </sheets>
  <definedNames>
    <definedName name="Priority">BRS!$C$1:$C$4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7" i="2" l="1"/>
  <c r="A17" i="2"/>
  <c r="D16" i="2"/>
  <c r="A16" i="2"/>
  <c r="D15" i="2"/>
  <c r="A15" i="2"/>
  <c r="D14" i="2"/>
  <c r="A14" i="2"/>
  <c r="D13" i="2"/>
  <c r="A13" i="2"/>
  <c r="D12" i="2"/>
  <c r="A12" i="2"/>
  <c r="D11" i="2"/>
  <c r="A11" i="2"/>
  <c r="D10" i="2"/>
  <c r="A10" i="2"/>
  <c r="D9" i="2"/>
  <c r="A9" i="2"/>
  <c r="D8" i="2"/>
  <c r="A8" i="2"/>
  <c r="D7" i="2"/>
  <c r="A7" i="2"/>
  <c r="D6" i="2"/>
  <c r="A6" i="2"/>
  <c r="D5" i="2"/>
  <c r="A5" i="2"/>
  <c r="D4" i="2"/>
  <c r="A4" i="2"/>
  <c r="D3" i="2"/>
  <c r="A3" i="2"/>
</calcChain>
</file>

<file path=xl/sharedStrings.xml><?xml version="1.0" encoding="utf-8"?>
<sst xmlns="http://schemas.openxmlformats.org/spreadsheetml/2006/main" count="214" uniqueCount="126">
  <si>
    <t>Ref_Key</t>
  </si>
  <si>
    <t>Priority</t>
  </si>
  <si>
    <t>Test Design Status</t>
  </si>
  <si>
    <t>TEST Case</t>
  </si>
  <si>
    <t>ETA</t>
  </si>
  <si>
    <t>Main Topic</t>
  </si>
  <si>
    <t>Functionality</t>
  </si>
  <si>
    <t>Application</t>
  </si>
  <si>
    <t>User Profile</t>
  </si>
  <si>
    <t>Pre-requisites</t>
  </si>
  <si>
    <t>Dependencies</t>
  </si>
  <si>
    <t>References</t>
  </si>
  <si>
    <t xml:space="preserve">Description </t>
  </si>
  <si>
    <t>Expected Result</t>
  </si>
  <si>
    <t>Testing status</t>
  </si>
  <si>
    <t>Testing Comments</t>
  </si>
  <si>
    <t>Last Day Execution</t>
  </si>
  <si>
    <t>BUG Ref</t>
  </si>
  <si>
    <t>Test relevance</t>
  </si>
  <si>
    <t>Numerical ID of the test case</t>
  </si>
  <si>
    <t>Planned date for completion</t>
  </si>
  <si>
    <t>General topic object of the test case</t>
  </si>
  <si>
    <t>Specific functionality of the test case</t>
  </si>
  <si>
    <t>Application or module being tested</t>
  </si>
  <si>
    <t>Type of client targeted by the test case</t>
  </si>
  <si>
    <t>Conditions or setup needed before testing</t>
  </si>
  <si>
    <t>Tests or systems that must be completed first</t>
  </si>
  <si>
    <t>Related documents or requirements</t>
  </si>
  <si>
    <t>Detailed description of the test case</t>
  </si>
  <si>
    <t>Anticipated outcome of the test</t>
  </si>
  <si>
    <t>Specify test outcome</t>
  </si>
  <si>
    <t>Report notes / comments if needed</t>
  </si>
  <si>
    <t>Specify test execution date</t>
  </si>
  <si>
    <t>Identifier for any bugs found</t>
  </si>
  <si>
    <t>High Priority</t>
  </si>
  <si>
    <t>Approved by PO</t>
  </si>
  <si>
    <t>Share register management</t>
  </si>
  <si>
    <t xml:space="preserve">Register Belgian registered shares initialisation </t>
  </si>
  <si>
    <t>Share Register Service (SRS);
Tableau WebPortal</t>
  </si>
  <si>
    <t>Issuer / Shareholder</t>
  </si>
  <si>
    <t>Valid shareholder data submitted by Issuer to ES-MIL; system access; Issuer can communicate with ES-MIL/Register &amp; AGM team via the "on-line" tool; Issuer and Issuer Agent have access to the dedicated queries/reports in Tableau WebPortal</t>
  </si>
  <si>
    <t>System configuration</t>
  </si>
  <si>
    <t>Service Description section 7.1.1</t>
  </si>
  <si>
    <t>Issuer/Issuer Agent submits valid shareholder data (via the dedicated form and tool) to Register &amp; AGM team. Register &amp; AGM team encodes shareholder details and related registered share quantities in SRS, with Register &amp; AGM team ensuring legal traceability and updating registered account balance, following the 4-eyes principle.</t>
  </si>
  <si>
    <t>- Issuer received confirmation that the adding request is taken for processing (in online tool) by Register &amp; AGM team;
- Shares and shareholders details are correctly registered in the Register;
- Issuer can check in Tableau on the next day the different reports on Shareholder register and Regitered account balance.</t>
  </si>
  <si>
    <t>To Do</t>
  </si>
  <si>
    <t>Register new shareholder</t>
  </si>
  <si>
    <t>Valid shareholder data; system access; Issuer can communicate with ES-MIL/Register &amp; AGM team via the "on-line" tool; for additional tranche issuance: new shareholder data submitted by Issuer to ES-MIL; Issuer and Issuer Agent have access to the dedicated queries/reports in Tableau WebPortal</t>
  </si>
  <si>
    <t>Service Description section 7.1.2</t>
  </si>
  <si>
    <t>Issuer/Issuer Agent submits valid shareholder data (via the dedicated form and tool) to Register &amp; AGM team. Register &amp; AGM team creates  new shareholder(s) in SRS, with Register &amp; AGM team validating all required fields and confirming GDPR compliance, following the 4-eyes principle.</t>
  </si>
  <si>
    <t>- Issuer received confirmation that the adding request is taken for processing (in online tool) by Register &amp; AGM team;
- Shareholder(s) are added and visible in the register: Issuer can check this in Tableau reports on the next day.</t>
  </si>
  <si>
    <t>Update shareholder details</t>
  </si>
  <si>
    <t>Existing shareholder record; Issuer can communicate with ES-MIL/Register &amp; AGM team via the "on-line" tool; form with updated details sent to ES-MIL by Issuer; Issuer and Issuer Agent have access to the dedicated queries/reports in Tableau WebPortal</t>
  </si>
  <si>
    <t>Issuer/Issuer Agent submits valid updated shareholder data (via the dedicated form and tool) to Register &amp; AGM team. Register &amp; AGM team edits shareholder information and ensure all changes are saved and legally compliant, following the 4-eyes principle.</t>
  </si>
  <si>
    <t>- Issuer received confirmation that the update request is taken for processing (in online tool) by Register &amp; AGM team;
- Updated details are reflected in the register: Issuer can check the updated details in Tableau reports on the next day).</t>
  </si>
  <si>
    <t>Transfer shares between shareholders off-market</t>
  </si>
  <si>
    <t>Two valid shareholder records; Issuer can communicate with ES-MIL/Register &amp; AGM team via the "on-line" tool; OTC trade; valid documentation (notary deed, contract, etc.) provided to ES-MIL by Issuer once trade is processed; Issuer and Issuer Agent have access to the dedicated queries/reports in Tableau WebPortal</t>
  </si>
  <si>
    <t>Service Description section 7.2.2</t>
  </si>
  <si>
    <t>Issuer/Issuer Agent submits the share transfer request (from existing shareholder "giver"  to  existing shareholder "receiver") valid updated shareholder data (via the dedicated form and tool) and any evidences (e.g. notary deed) to Register &amp; AGM team.
Register &amp; AGM team process a share transfer off-market (inheritance, gift) and check that the register updates accordingly, with legal documentation.</t>
  </si>
  <si>
    <t>- Issuer received confirmation that the update request is taken for processing (in online tool) by Register &amp; AGM team;
- Shares are transferred and the register is updated accurately: Issuer/Issuer Agent can check in Tableau on the next day the new shareholders register listing report and the Shareholder Register movement report.</t>
  </si>
  <si>
    <t>Transaction processing</t>
  </si>
  <si>
    <t>Process sell market transactions</t>
  </si>
  <si>
    <t>Shares issued in registered form only; active accounts; shares available; sale processed and Buy/Sale power form submitted to ES-MIL by Issuer or investor’s financial institution; Issuer and Issuer Agent have access to the dedicated queries/reports in Tableau WebPortal</t>
  </si>
  <si>
    <t>Share registration; conversion</t>
  </si>
  <si>
    <t>Issuer/Issuer Agent submits the sale details (received from the shareholder's bank or broker) via the dedicated form and tool, to Register &amp; AGM team.
Register &amp; AGM team verify impact of sell transactions on the share register, ensuring traceability.
Note: ES-MIL does not execute the trade; transaction completed before ES-MIL receives Buy/Sell Power form. ES-MIL only updates ownership details in the register.</t>
  </si>
  <si>
    <t>- Issuer receives confirmation that the update request is taken for processing (in online tool) by Register &amp; AGM team;
- The Shareholder register is updated accordingly: Issuer can check the Register balance and movement reports in Tableau on the next day.</t>
  </si>
  <si>
    <t>Process buy market transactions</t>
  </si>
  <si>
    <t>Active accounts; shares available; purchase processed and Buy/Sale power form submitted to ES-MIL by Issuer or investor’s financial institution; only shares issued in registered form; Issuer and Issuer Agent have access to the dedicated queries/reports in Tableau WebPortal</t>
  </si>
  <si>
    <t>Service Description section 7.2.1.2</t>
  </si>
  <si>
    <t>Issuer/Issuer Agent submits the purchase details (received from the shareholder's bank or broker) via the dedicated form and tool, to Register &amp; AGM team.
Register &amp; AGM team verify impact of buy transactions on the share register, ensuring traceability.
Note: ES-MIL does not execute the trade; transaction completed before ES-MIL receives Buy/Sell Power form. ES-MIL only updates ownership details in the register.</t>
  </si>
  <si>
    <t>- Issuer receives confirmation that the update request is taken for processing (in online tool) by Register &amp; AGM team.
- The Shareholder register is updated accordingly: Issuer can check the Register balance and movement reports in Tableau on the next day.</t>
  </si>
  <si>
    <t>Conversion process</t>
  </si>
  <si>
    <t>Convert registered to dematerialised shares</t>
  </si>
  <si>
    <t>Issuer / Shareholder
ES-MIL Custodian</t>
  </si>
  <si>
    <r>
      <t xml:space="preserve">Issuer can communicate with ES-MIL/Register &amp; AGM team via the "on-line" tool; </t>
    </r>
    <r>
      <rPr>
        <b/>
        <sz val="9"/>
        <color rgb="FF000000"/>
        <rFont val="Verdana"/>
        <family val="2"/>
      </rPr>
      <t>ES-MIL is Issuer CSD</t>
    </r>
    <r>
      <rPr>
        <sz val="9"/>
        <color rgb="FF000000"/>
        <rFont val="Verdana"/>
        <family val="2"/>
      </rPr>
      <t>; conversion request form submitted by Issuer or Custodian; shareholder identity verified; settlement instructions created with Custodian reference and 'On Hold' indicator; Issuer and Issuer Agent have access to the dedicated queries/reports in Tableau WebPortal</t>
    </r>
  </si>
  <si>
    <t>Share register management; settlement update</t>
  </si>
  <si>
    <t>Service Description section 7.2.1.1</t>
  </si>
  <si>
    <r>
      <t>Issuer/Issuer Agent submits the conversion request (via the dedicated form and tool) to Register &amp; AGM team. Conversion request contains a specific conversion reference from participant.
Register &amp; AGM team process conversion of registered shares to dematerialised form, validate all steps, update register and securities account, ensure legal compliance. 
Register &amp; AGM team also update the "Balance of Registered" account (reducing the number of registered shares).</t>
    </r>
    <r>
      <rPr>
        <strike/>
        <sz val="9"/>
        <rFont val="Verdana"/>
        <family val="2"/>
      </rPr>
      <t xml:space="preserve">
</t>
    </r>
    <r>
      <rPr>
        <sz val="9"/>
        <rFont val="Verdana"/>
        <family val="2"/>
      </rPr>
      <t>Register &amp; AGM team sends an already matched delivery “Free of Payment” instruction, to debit the involved participant account and to credit the Issuance account. This settlement instruction contains the conversion reference and the 'On Hold' indicator.</t>
    </r>
  </si>
  <si>
    <t>- Issuer receives confirmation that the update request is taken for processing (in online tool) by Register &amp; AGM team;
- Register &amp; AGM team update the register accordingly;
- Register &amp; AGM team removes the 'On Hold' indicator from the settlement instruction (instruction settles);
- Issuer Agent receives the debit settlement instruction confirmation (with specific conversion reference);
- Custodian receives  the credit settlement instruction confirmation (with specific conversion reference);
- Issuer can check  in Tableau on the next day:
-- The Register balance and movement reports;
-- The "Balance of Registered" account balance and movement report.</t>
  </si>
  <si>
    <t>Medium Priority</t>
  </si>
  <si>
    <t>Convert dematerialised to registered shares</t>
  </si>
  <si>
    <t>Share Register Service (SRS)</t>
  </si>
  <si>
    <t>Service Description section 8.2</t>
  </si>
  <si>
    <t>Issuer/Issuer Agent submits the conversion request (via the dedicated form and tool) to Register &amp; AGM team. Conversion request contains a specific conversion reference from participant.
Register &amp; AGM team process conversion of dematerialised shares to registered form, validate all steps, update register and securities account, ensure legal compliance. 
Register &amp; AGM team also update the "Balance of Registered" account (increasing the number of registered shares).
Register &amp; AGM team sends an already matched delivery “Free of Payment” instruction, to debit the issuance account and to credit the involved participant account. This settlement instruction contains  the conversion reference and the 'On hold’ indicator.</t>
  </si>
  <si>
    <t>- Issuer receives confirmation that the update request is taken for processing (in online tool) by Register &amp; AGM team;
- Register &amp; AGM team update the register accordingly;
- Register &amp; AGM team removes the 'on hold indicator" from the settlement instruction (instruction settles);
- Issuer agent receives the credit settlement instruction confirmation (with specific conversion reference);
- Custodian receives the debit settlement instruction confirmation (with specific conversion reference);
- Issuer can check  in Tableau on the next day:
-- The Register balance and movement reports;
-- The "Balance of Registered" account balance and movement report.</t>
  </si>
  <si>
    <t>Convert registered to dematerialised shares (Investor CSD)</t>
  </si>
  <si>
    <r>
      <t xml:space="preserve">Issuer can communicate with ES-MIL/Register &amp; AGM team via the "on-line" tool; </t>
    </r>
    <r>
      <rPr>
        <b/>
        <sz val="9"/>
        <color rgb="FF000000"/>
        <rFont val="Verdana"/>
        <family val="2"/>
      </rPr>
      <t>ES-MIL is Investor CSD</t>
    </r>
    <r>
      <rPr>
        <sz val="9"/>
        <color rgb="FF000000"/>
        <rFont val="Verdana"/>
        <family val="2"/>
      </rPr>
      <t>; conversion request form may be received from ES-MIL Custodian chosen to hold dematerialised shares (shareholder identity already verified); form sent to Issuer CSD by ES-MIL</t>
    </r>
  </si>
  <si>
    <t>No dependencies</t>
  </si>
  <si>
    <t>Service Description section 8.3</t>
  </si>
  <si>
    <t>The conversion request includes the ES-MIL omnibus account in the books of the Issuer CSD.
ES-MIL sends the form to the Issuer CSD.
Issuer CSD process the conversion request: it credits converted position to ES-MIL omnibus account; Once credit settlement confirmation received from Issuer CSD, Register &amp; AGM team sends to T2S an already matched “Free of Payment” instruction that debits the mirror account and credits the ES-MIL participant account, according to the details in the received de-registration form. It includes a conversion internal reference from the participant.</t>
  </si>
  <si>
    <t>Credit settlement confirmation sent to ES-MIL participant, including reference to de-registration.</t>
  </si>
  <si>
    <t>N/A</t>
  </si>
  <si>
    <t>Convert dematerialised to registered shares (Investor CSD)</t>
  </si>
  <si>
    <r>
      <t xml:space="preserve">Issuer can communicate with ES-MIL/Register &amp; AGM team via the "on-line" tool; </t>
    </r>
    <r>
      <rPr>
        <b/>
        <sz val="9"/>
        <color rgb="FF000000"/>
        <rFont val="Verdana"/>
        <family val="2"/>
      </rPr>
      <t>ES-MIL is Investor CSD;</t>
    </r>
    <r>
      <rPr>
        <sz val="9"/>
        <color rgb="FF000000"/>
        <rFont val="Verdana"/>
        <family val="2"/>
      </rPr>
      <t xml:space="preserve"> conversion request form may be received from ES-MIL Custodian holding shares (shareholder identity already verified); form sent to Issuer CSD by ES-MIL</t>
    </r>
  </si>
  <si>
    <t>Service Description section 8.4</t>
  </si>
  <si>
    <t>The conversion request includes the ES-MIL omnibus account in the books of the Issuer CSD.
ES-MIL sends the form to the Issuer CSD.
Issuer CSD process the conversion request: it debits position (to be registered) from ES-MIL omnibus account; Once settlement confirmation received from Issuer CSD, ES-MIL Ops sends an already matched “Free of Payment” instruction that debits the ES-MIL participant account and credits the mirror account, according to the details in the received registration form. It includes a conversion internal reference from the participant.</t>
  </si>
  <si>
    <t>Debit settlement confirmation sent to ES-MIL participant, including reference to registration request.</t>
  </si>
  <si>
    <t>Low Priority</t>
  </si>
  <si>
    <t>Handle failed conversion request</t>
  </si>
  <si>
    <t>Invalid or incomplete conversion request</t>
  </si>
  <si>
    <t>Service Description section 8.5</t>
  </si>
  <si>
    <t>Issuer/Issuer Agent submits a conversion request with missing or invalid data (via the dedicated form and tool) to Register &amp; AGM team.
System does not generate a response - validation is carried out manually by Register &amp; AGM team.</t>
  </si>
  <si>
    <t>No conversion is performed. No system error message is displayed; ES-MIL notifies the form provider of the issue via MT-X: the conversion request is rejected and an explanation is given.</t>
  </si>
  <si>
    <t>Corporate actions</t>
  </si>
  <si>
    <t>Process corporate actions (Shares Buy back, Bonus issue, etc.)</t>
  </si>
  <si>
    <t>Issuer can communicate with ES-MIL/Register &amp; AGM team via the "on-line" tool; shares registered; event trigger (e.g. Share buy back); issuer communicates impact of event on registered shareholders; Issuer and Issuer Agent have access to the dedicated queries/reports in Tableau WebPortal</t>
  </si>
  <si>
    <t>Share registration</t>
  </si>
  <si>
    <t>Service Description section 8.1</t>
  </si>
  <si>
    <t>The Issuer/Issuer Agent announces a corporate event affecting the nunmber of securities issued (i.e. bonus issue).
The event is managed by the Issuer for the registered shares (increase in the number of registered shares issued). The Issuer/Issuer Agent provides details on how these changes impact the shareholder register (indicating the quantity of new registered shares assigned to each shareholders in the register) by sending the completed SRS form via MT-X.</t>
  </si>
  <si>
    <t>- Issuer receives confirmation that the Register update request related to the corporate event is taken for processing (in online tool) by Register &amp; AGM team;
- Register &amp; AGM team credits the "Balance of Registered" account with total new registered shares;
- Shares and shareholders details are correctly updated in the Register and reflected in the application;
- Issuer can check in Tableau on the next day the different balance and movement reports on Shareholder Register and on "Balance of Registered" account.</t>
  </si>
  <si>
    <t>Reporting</t>
  </si>
  <si>
    <t>Generate shareholder reports</t>
  </si>
  <si>
    <t>Share Register Service (SRS) - Reporting module</t>
  </si>
  <si>
    <t>Shareholder data in system; Issuer and Issuer Agent have access to the dedicated queries/reports in Tableau WebPortal; data from SRS up to day D can be viewed in Tableau on D+1</t>
  </si>
  <si>
    <t>Register update</t>
  </si>
  <si>
    <t>At any moment, the Issuer or Issuer agent can connect to the Tableau WebPortal and generates and export reports (reports from a restricted list) on shareholder positions and transactions, ensuring data accuracy and privacy.</t>
  </si>
  <si>
    <t>Accurate reports are generated and exported in desired format (.pdf, .xls).
On day D, only data up to day D-1 is available.</t>
  </si>
  <si>
    <t>Generate register history report</t>
  </si>
  <si>
    <t>Issuer can communicate with ES-MIL/Register &amp; AGM team via the "on-line" tool; transaction data in system; Issuer and Issuer Agent have access to the dedicated queries/reports in Tableau WebPortal; data from SRS up to day D can be viewed in Tableau on D+1</t>
  </si>
  <si>
    <t>Service Description section 7.3</t>
  </si>
  <si>
    <t>At any moment, the Issuer or Issuer agent can connect to the Tableau WebPortal and generates a report showing history of changes and transactions to shareholder records over a period.</t>
  </si>
  <si>
    <t>Register history report is generated and accurate.
On day D, only data up to day D-1 is available.</t>
  </si>
  <si>
    <t>Shares are pledged</t>
  </si>
  <si>
    <t>Shareholders have registered shares booked in the Register; shareholder's financial institution required to pledge shares as collateral; pledge request submitted to ES-MIL by Bank/Shareholder</t>
  </si>
  <si>
    <t>The shareholder's ES-MIL participant (via the shareholder's bank) submits a SRS template in order to pledge the shareholder's registered shares position int he Regiter (via dedicated form and tool) to Register &amp; AGM team.
Register &amp; AGM team processes request by marking shareholder's shares position as "pledged". Restriction on shares transfer (blocked) until pledge is lifted. ES-MIL provides balance statement attesting the number of shares pledged.</t>
  </si>
  <si>
    <t>Financial institutions receive balance statement attesting the number of shares pledged. Securities are blocked until pledge is lifted 
(Issuer can check in Tableau on the next day). Update confirmation also sent to Issuer.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</si>
</sst>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theme="1"/>
      <name val="Aptos Narrow"/>
      <family val="2"/>
      <scheme val="minor"/>
    </font>
    <font>
      <sz val="11"/>
      <color theme="1"/>
      <name val="Aptos Narrow"/>
      <family val="2"/>
      <scheme val="minor"/>
    </font>
    <font>
      <b/>
      <sz val="9"/>
      <color rgb="FFE6E9EA"/>
      <name val="Verdana"/>
      <family val="2"/>
    </font>
    <font>
      <sz val="9"/>
      <color rgb="FFE6E9EA"/>
      <name val="Verdana"/>
      <family val="2"/>
    </font>
    <font>
      <i/>
      <sz val="9"/>
      <color rgb="FFE6E9EA"/>
      <name val="Verdana"/>
      <family val="2"/>
    </font>
    <font>
      <sz val="9"/>
      <color rgb="FF000000"/>
      <name val="Verdana"/>
      <family val="2"/>
    </font>
    <font>
      <sz val="9"/>
      <name val="Verdana"/>
      <family val="2"/>
    </font>
    <font>
      <b/>
      <sz val="9"/>
      <color theme="1"/>
      <name val="Verdana"/>
      <family val="2"/>
    </font>
    <font>
      <sz val="9"/>
      <color rgb="FFFF0000"/>
      <name val="Verdana"/>
      <family val="2"/>
    </font>
    <font>
      <sz val="9"/>
      <color theme="1"/>
      <name val="Verdana"/>
      <family val="2"/>
    </font>
    <font>
      <b/>
      <sz val="9"/>
      <color rgb="FF000000"/>
      <name val="Verdana"/>
      <family val="2"/>
    </font>
    <font>
      <strike/>
      <sz val="9"/>
      <name val="Verdana"/>
      <family val="2"/>
    </font>
    <font>
      <sz val="9"/>
      <color rgb="FFE6E9EA"/>
      <name val="Verdana"/>
    </font>
    <font>
      <sz val="9"/>
      <color rgb="FF000000"/>
      <name val="Verdana"/>
    </font>
    <font>
      <b/>
      <sz val="9"/>
      <color theme="1"/>
      <name val="Verdana"/>
    </font>
    <font>
      <sz val="9"/>
      <color rgb="FFFF0000"/>
      <name val="Verdana"/>
    </font>
    <font>
      <sz val="9"/>
      <color theme="1"/>
      <name val="Verdana"/>
    </font>
  </fonts>
  <fills count="6">
    <fill>
      <patternFill patternType="none"/>
    </fill>
    <fill>
      <patternFill patternType="gray125"/>
    </fill>
    <fill>
      <patternFill patternType="solid">
        <fgColor rgb="FFC1C9CB"/>
        <bgColor indexed="64"/>
      </patternFill>
    </fill>
    <fill>
      <patternFill patternType="solid">
        <fgColor rgb="FF003934"/>
        <bgColor rgb="FF5B9BD5"/>
      </patternFill>
    </fill>
    <fill>
      <patternFill patternType="solid">
        <fgColor theme="7" tint="-0.249977111117893"/>
        <bgColor rgb="FF5B9BD5"/>
      </patternFill>
    </fill>
    <fill>
      <patternFill patternType="solid">
        <fgColor theme="7"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33">
    <xf numFmtId="0" fontId="0" fillId="0" borderId="0" xfId="0"/>
    <xf numFmtId="0" fontId="2" fillId="3" borderId="1" xfId="0" applyFont="1" applyFill="1" applyBorder="1" applyAlignment="1">
      <alignment horizontal="center" vertical="center" wrapText="1"/>
    </xf>
    <xf numFmtId="14" fontId="2" fillId="3" borderId="1" xfId="0" applyNumberFormat="1" applyFont="1" applyFill="1" applyBorder="1" applyAlignment="1">
      <alignment horizontal="center" vertical="center" wrapText="1"/>
    </xf>
    <xf numFmtId="0" fontId="3" fillId="0" borderId="0" xfId="0" applyFont="1" applyAlignment="1">
      <alignment horizontal="center" vertical="center" wrapText="1"/>
    </xf>
    <xf numFmtId="0" fontId="4" fillId="3" borderId="1" xfId="0" applyFont="1" applyFill="1" applyBorder="1" applyAlignment="1">
      <alignment horizontal="left" vertical="center" wrapText="1"/>
    </xf>
    <xf numFmtId="14" fontId="4" fillId="3" borderId="1" xfId="0" applyNumberFormat="1" applyFont="1" applyFill="1" applyBorder="1" applyAlignment="1">
      <alignment horizontal="left" vertical="center" wrapText="1"/>
    </xf>
    <xf numFmtId="0" fontId="4" fillId="0" borderId="0" xfId="0" applyFont="1" applyAlignment="1">
      <alignment horizontal="left" vertical="center" wrapText="1"/>
    </xf>
    <xf numFmtId="0" fontId="3" fillId="2"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5" borderId="1" xfId="0" applyFont="1" applyFill="1" applyBorder="1" applyAlignment="1">
      <alignment horizontal="center" vertical="center" wrapText="1"/>
    </xf>
    <xf numFmtId="14" fontId="5" fillId="0" borderId="1" xfId="0" applyNumberFormat="1" applyFont="1" applyBorder="1" applyAlignment="1">
      <alignment horizontal="center" vertical="center" wrapText="1"/>
    </xf>
    <xf numFmtId="0" fontId="6" fillId="0" borderId="1" xfId="0" applyFont="1" applyBorder="1" applyAlignment="1">
      <alignment horizontal="center" vertical="center" wrapText="1"/>
    </xf>
    <xf numFmtId="0" fontId="5" fillId="0" borderId="1" xfId="0" applyFont="1" applyBorder="1" applyAlignment="1">
      <alignment horizontal="left" vertical="center" wrapText="1"/>
    </xf>
    <xf numFmtId="0" fontId="6" fillId="0" borderId="1" xfId="0" applyFont="1" applyBorder="1" applyAlignment="1">
      <alignment horizontal="left" vertical="center" wrapText="1"/>
    </xf>
    <xf numFmtId="0" fontId="6" fillId="0" borderId="1" xfId="0" quotePrefix="1" applyFont="1" applyBorder="1" applyAlignment="1">
      <alignment horizontal="left" vertical="center" wrapText="1"/>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9" fillId="0" borderId="0" xfId="0" applyFont="1" applyAlignment="1">
      <alignment horizontal="center" vertical="center" wrapText="1"/>
    </xf>
    <xf numFmtId="0" fontId="12" fillId="2" borderId="1" xfId="0" applyFont="1" applyFill="1" applyBorder="1" applyAlignment="1">
      <alignment horizontal="center" vertical="center" wrapText="1"/>
    </xf>
    <xf numFmtId="0" fontId="13" fillId="0" borderId="1" xfId="0" applyFont="1" applyBorder="1" applyAlignment="1">
      <alignment horizontal="center" vertical="center" wrapText="1"/>
    </xf>
    <xf numFmtId="0" fontId="13" fillId="5" borderId="1" xfId="0" applyFont="1" applyFill="1" applyBorder="1" applyAlignment="1">
      <alignment horizontal="center" vertical="center" wrapText="1"/>
    </xf>
    <xf numFmtId="14" fontId="13" fillId="0" borderId="1" xfId="0" applyNumberFormat="1" applyFont="1" applyBorder="1" applyAlignment="1">
      <alignment horizontal="center" vertical="center" wrapText="1"/>
    </xf>
    <xf numFmtId="0" fontId="13" fillId="0" borderId="1" xfId="0" applyFont="1" applyBorder="1" applyAlignment="1">
      <alignment horizontal="left" vertical="center" wrapText="1"/>
    </xf>
    <xf numFmtId="0" fontId="14"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16" fillId="0" borderId="0" xfId="0" applyFont="1" applyAlignment="1">
      <alignment horizontal="center" vertical="center" wrapText="1"/>
    </xf>
    <xf numFmtId="0" fontId="5" fillId="0" borderId="0" xfId="0" applyFont="1" applyAlignment="1">
      <alignment horizontal="center" vertical="center" wrapText="1"/>
    </xf>
    <xf numFmtId="0" fontId="3" fillId="2" borderId="0" xfId="0" applyFont="1" applyFill="1" applyAlignment="1">
      <alignment horizontal="center" vertical="center" wrapText="1"/>
    </xf>
    <xf numFmtId="14" fontId="9" fillId="0" borderId="0" xfId="0" applyNumberFormat="1" applyFont="1" applyAlignment="1">
      <alignment horizontal="center" vertical="center" wrapText="1"/>
    </xf>
    <xf numFmtId="0" fontId="9" fillId="0" borderId="0" xfId="0" applyFont="1" applyAlignment="1">
      <alignment horizontal="left" vertical="center" wrapText="1"/>
    </xf>
    <xf numFmtId="0" fontId="2" fillId="2" borderId="1"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4" borderId="3" xfId="0" applyFont="1" applyFill="1" applyBorder="1" applyAlignment="1">
      <alignment horizontal="center" vertical="center" wrapText="1"/>
    </xf>
  </cellXfs>
  <cellStyles count="1">
    <cellStyle name="Normal" xfId="0" builtinId="0"/>
  </cellStyles>
  <dxfs count="6">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theme="2" tint="-0.499984740745262"/>
      </font>
      <fill>
        <patternFill>
          <bgColor theme="2"/>
        </patternFill>
      </fill>
    </dxf>
    <dxf>
      <fill>
        <patternFill>
          <bgColor theme="2"/>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68F32-B591-4763-A90F-A1EFFBE41B48}">
  <sheetPr>
    <tabColor theme="5" tint="-0.249977111117893"/>
    <pageSetUpPr fitToPage="1"/>
  </sheetPr>
  <dimension ref="A1:R17"/>
  <sheetViews>
    <sheetView tabSelected="1" zoomScale="90" zoomScaleNormal="90" workbookViewId="0">
      <pane xSplit="4" topLeftCell="E1" activePane="topRight" state="frozen"/>
      <selection pane="topRight" activeCell="P11" sqref="P11:P12"/>
    </sheetView>
  </sheetViews>
  <sheetFormatPr defaultColWidth="9.28515625" defaultRowHeight="11.25"/>
  <cols>
    <col min="1" max="1" width="19.5703125" style="27" bestFit="1" customWidth="1"/>
    <col min="2" max="2" width="14.28515625" style="17" customWidth="1"/>
    <col min="3" max="3" width="19" style="17" customWidth="1"/>
    <col min="4" max="4" width="16.85546875" style="17" bestFit="1" customWidth="1"/>
    <col min="5" max="5" width="16.140625" style="28" customWidth="1"/>
    <col min="6" max="6" width="33.140625" style="17" bestFit="1" customWidth="1"/>
    <col min="7" max="7" width="29.28515625" style="17" bestFit="1" customWidth="1"/>
    <col min="8" max="8" width="20.42578125" style="17" bestFit="1" customWidth="1"/>
    <col min="9" max="9" width="22.28515625" style="17" customWidth="1"/>
    <col min="10" max="10" width="34.140625" style="29" customWidth="1"/>
    <col min="11" max="11" width="23.42578125" style="29" customWidth="1"/>
    <col min="12" max="12" width="20.5703125" style="29" bestFit="1" customWidth="1"/>
    <col min="13" max="13" width="64.140625" style="29" customWidth="1"/>
    <col min="14" max="14" width="76" style="29" customWidth="1"/>
    <col min="15" max="15" width="17.85546875" style="17" bestFit="1" customWidth="1"/>
    <col min="16" max="16" width="22.28515625" style="29" bestFit="1" customWidth="1"/>
    <col min="17" max="17" width="22.28515625" style="17" customWidth="1"/>
    <col min="18" max="18" width="15.42578125" style="17" customWidth="1"/>
    <col min="19" max="19" width="11.7109375" style="17" bestFit="1" customWidth="1"/>
    <col min="20" max="16384" width="9.28515625" style="17"/>
  </cols>
  <sheetData>
    <row r="1" spans="1:18" s="3" customFormat="1" ht="30" customHeight="1">
      <c r="A1" s="30" t="s">
        <v>0</v>
      </c>
      <c r="B1" s="1" t="s">
        <v>1</v>
      </c>
      <c r="C1" s="31" t="s">
        <v>2</v>
      </c>
      <c r="D1" s="1" t="s">
        <v>3</v>
      </c>
      <c r="E1" s="2" t="s">
        <v>4</v>
      </c>
      <c r="F1" s="1" t="s">
        <v>5</v>
      </c>
      <c r="G1" s="1" t="s">
        <v>6</v>
      </c>
      <c r="H1" s="1" t="s">
        <v>7</v>
      </c>
      <c r="I1" s="1" t="s">
        <v>8</v>
      </c>
      <c r="J1" s="1" t="s">
        <v>9</v>
      </c>
      <c r="K1" s="1" t="s">
        <v>10</v>
      </c>
      <c r="L1" s="1" t="s">
        <v>11</v>
      </c>
      <c r="M1" s="1" t="s">
        <v>12</v>
      </c>
      <c r="N1" s="1" t="s">
        <v>13</v>
      </c>
      <c r="O1" s="1" t="s">
        <v>14</v>
      </c>
      <c r="P1" s="1" t="s">
        <v>15</v>
      </c>
      <c r="Q1" s="1" t="s">
        <v>16</v>
      </c>
      <c r="R1" s="1" t="s">
        <v>17</v>
      </c>
    </row>
    <row r="2" spans="1:18" s="6" customFormat="1" ht="30" customHeight="1">
      <c r="A2" s="30"/>
      <c r="B2" s="4" t="s">
        <v>18</v>
      </c>
      <c r="C2" s="32"/>
      <c r="D2" s="4" t="s">
        <v>19</v>
      </c>
      <c r="E2" s="5" t="s">
        <v>20</v>
      </c>
      <c r="F2" s="4" t="s">
        <v>21</v>
      </c>
      <c r="G2" s="4" t="s">
        <v>22</v>
      </c>
      <c r="H2" s="4" t="s">
        <v>23</v>
      </c>
      <c r="I2" s="4" t="s">
        <v>24</v>
      </c>
      <c r="J2" s="4" t="s">
        <v>25</v>
      </c>
      <c r="K2" s="4" t="s">
        <v>26</v>
      </c>
      <c r="L2" s="4" t="s">
        <v>27</v>
      </c>
      <c r="M2" s="4" t="s">
        <v>28</v>
      </c>
      <c r="N2" s="4" t="s">
        <v>29</v>
      </c>
      <c r="O2" s="4" t="s">
        <v>30</v>
      </c>
      <c r="P2" s="4" t="s">
        <v>31</v>
      </c>
      <c r="Q2" s="4" t="s">
        <v>32</v>
      </c>
      <c r="R2" s="4" t="s">
        <v>33</v>
      </c>
    </row>
    <row r="3" spans="1:18" ht="90">
      <c r="A3" s="7" t="str">
        <f t="shared" ref="A3:A17" si="0">$B3&amp;"/"&amp;$C3</f>
        <v>High Priority/Approved by PO</v>
      </c>
      <c r="B3" s="8" t="s">
        <v>34</v>
      </c>
      <c r="C3" s="9" t="s">
        <v>35</v>
      </c>
      <c r="D3" s="8" t="str">
        <f t="shared" ref="D3:D17" si="1">"BE_RS_"&amp;ROW()-2</f>
        <v>BE_RS_1</v>
      </c>
      <c r="E3" s="10">
        <v>46234</v>
      </c>
      <c r="F3" s="8" t="s">
        <v>36</v>
      </c>
      <c r="G3" s="11" t="s">
        <v>37</v>
      </c>
      <c r="H3" s="12" t="s">
        <v>38</v>
      </c>
      <c r="I3" s="8" t="s">
        <v>39</v>
      </c>
      <c r="J3" s="13" t="s">
        <v>40</v>
      </c>
      <c r="K3" s="12" t="s">
        <v>41</v>
      </c>
      <c r="L3" s="12" t="s">
        <v>42</v>
      </c>
      <c r="M3" s="13" t="s">
        <v>43</v>
      </c>
      <c r="N3" s="14" t="s">
        <v>44</v>
      </c>
      <c r="O3" s="15" t="s">
        <v>45</v>
      </c>
      <c r="P3" s="12"/>
      <c r="Q3" s="8"/>
      <c r="R3" s="16"/>
    </row>
    <row r="4" spans="1:18" ht="112.5">
      <c r="A4" s="7" t="str">
        <f t="shared" si="0"/>
        <v>High Priority/Approved by PO</v>
      </c>
      <c r="B4" s="8" t="s">
        <v>34</v>
      </c>
      <c r="C4" s="9" t="s">
        <v>35</v>
      </c>
      <c r="D4" s="8" t="str">
        <f t="shared" si="1"/>
        <v>BE_RS_2</v>
      </c>
      <c r="E4" s="10">
        <v>46234</v>
      </c>
      <c r="F4" s="8" t="s">
        <v>36</v>
      </c>
      <c r="G4" s="8" t="s">
        <v>46</v>
      </c>
      <c r="H4" s="12" t="s">
        <v>38</v>
      </c>
      <c r="I4" s="8" t="s">
        <v>39</v>
      </c>
      <c r="J4" s="12" t="s">
        <v>47</v>
      </c>
      <c r="K4" s="12" t="s">
        <v>41</v>
      </c>
      <c r="L4" s="12" t="s">
        <v>48</v>
      </c>
      <c r="M4" s="13" t="s">
        <v>49</v>
      </c>
      <c r="N4" s="14" t="s">
        <v>50</v>
      </c>
      <c r="O4" s="15" t="s">
        <v>45</v>
      </c>
      <c r="P4" s="12"/>
      <c r="Q4" s="8"/>
      <c r="R4" s="16"/>
    </row>
    <row r="5" spans="1:18" ht="101.25">
      <c r="A5" s="7" t="str">
        <f t="shared" si="0"/>
        <v>High Priority/Approved by PO</v>
      </c>
      <c r="B5" s="8" t="s">
        <v>34</v>
      </c>
      <c r="C5" s="9" t="s">
        <v>35</v>
      </c>
      <c r="D5" s="8" t="str">
        <f t="shared" si="1"/>
        <v>BE_RS_3</v>
      </c>
      <c r="E5" s="10">
        <v>46234</v>
      </c>
      <c r="F5" s="8" t="s">
        <v>36</v>
      </c>
      <c r="G5" s="8" t="s">
        <v>51</v>
      </c>
      <c r="H5" s="12" t="s">
        <v>38</v>
      </c>
      <c r="I5" s="8" t="s">
        <v>39</v>
      </c>
      <c r="J5" s="12" t="s">
        <v>52</v>
      </c>
      <c r="K5" s="12" t="s">
        <v>46</v>
      </c>
      <c r="L5" s="12" t="s">
        <v>48</v>
      </c>
      <c r="M5" s="13" t="s">
        <v>53</v>
      </c>
      <c r="N5" s="14" t="s">
        <v>54</v>
      </c>
      <c r="O5" s="15" t="s">
        <v>45</v>
      </c>
      <c r="P5" s="12"/>
      <c r="Q5" s="8"/>
      <c r="R5" s="16"/>
    </row>
    <row r="6" spans="1:18" ht="129" customHeight="1">
      <c r="A6" s="7" t="str">
        <f t="shared" si="0"/>
        <v>High Priority/Approved by PO</v>
      </c>
      <c r="B6" s="8" t="s">
        <v>34</v>
      </c>
      <c r="C6" s="9" t="s">
        <v>35</v>
      </c>
      <c r="D6" s="8" t="str">
        <f t="shared" si="1"/>
        <v>BE_RS_4</v>
      </c>
      <c r="E6" s="10">
        <v>46234</v>
      </c>
      <c r="F6" s="8" t="s">
        <v>36</v>
      </c>
      <c r="G6" s="8" t="s">
        <v>55</v>
      </c>
      <c r="H6" s="12" t="s">
        <v>38</v>
      </c>
      <c r="I6" s="8" t="s">
        <v>39</v>
      </c>
      <c r="J6" s="12" t="s">
        <v>56</v>
      </c>
      <c r="K6" s="12" t="s">
        <v>46</v>
      </c>
      <c r="L6" s="12" t="s">
        <v>57</v>
      </c>
      <c r="M6" s="13" t="s">
        <v>58</v>
      </c>
      <c r="N6" s="14" t="s">
        <v>59</v>
      </c>
      <c r="O6" s="15" t="s">
        <v>45</v>
      </c>
      <c r="P6" s="12"/>
      <c r="Q6" s="8"/>
      <c r="R6" s="16"/>
    </row>
    <row r="7" spans="1:18" ht="132.75" customHeight="1">
      <c r="A7" s="7" t="str">
        <f t="shared" si="0"/>
        <v>High Priority/Approved by PO</v>
      </c>
      <c r="B7" s="8" t="s">
        <v>34</v>
      </c>
      <c r="C7" s="9" t="s">
        <v>35</v>
      </c>
      <c r="D7" s="8" t="str">
        <f t="shared" si="1"/>
        <v>BE_RS_5</v>
      </c>
      <c r="E7" s="10">
        <v>46234</v>
      </c>
      <c r="F7" s="8" t="s">
        <v>60</v>
      </c>
      <c r="G7" s="8" t="s">
        <v>61</v>
      </c>
      <c r="H7" s="12" t="s">
        <v>38</v>
      </c>
      <c r="I7" s="8" t="s">
        <v>39</v>
      </c>
      <c r="J7" s="13" t="s">
        <v>62</v>
      </c>
      <c r="K7" s="12" t="s">
        <v>63</v>
      </c>
      <c r="L7" s="12" t="s">
        <v>57</v>
      </c>
      <c r="M7" s="13" t="s">
        <v>64</v>
      </c>
      <c r="N7" s="14" t="s">
        <v>65</v>
      </c>
      <c r="O7" s="15" t="s">
        <v>45</v>
      </c>
      <c r="P7" s="12"/>
      <c r="Q7" s="8"/>
      <c r="R7" s="16"/>
    </row>
    <row r="8" spans="1:18" ht="101.25">
      <c r="A8" s="7" t="str">
        <f t="shared" si="0"/>
        <v>High Priority/Approved by PO</v>
      </c>
      <c r="B8" s="8" t="s">
        <v>34</v>
      </c>
      <c r="C8" s="9" t="s">
        <v>35</v>
      </c>
      <c r="D8" s="8" t="str">
        <f t="shared" si="1"/>
        <v>BE_RS_6</v>
      </c>
      <c r="E8" s="10">
        <v>46234</v>
      </c>
      <c r="F8" s="8" t="s">
        <v>60</v>
      </c>
      <c r="G8" s="8" t="s">
        <v>66</v>
      </c>
      <c r="H8" s="12" t="s">
        <v>38</v>
      </c>
      <c r="I8" s="8" t="s">
        <v>39</v>
      </c>
      <c r="J8" s="12" t="s">
        <v>67</v>
      </c>
      <c r="K8" s="12" t="s">
        <v>63</v>
      </c>
      <c r="L8" s="12" t="s">
        <v>68</v>
      </c>
      <c r="M8" s="13" t="s">
        <v>69</v>
      </c>
      <c r="N8" s="14" t="s">
        <v>70</v>
      </c>
      <c r="O8" s="15" t="s">
        <v>45</v>
      </c>
      <c r="P8" s="12"/>
      <c r="Q8" s="8"/>
      <c r="R8" s="16"/>
    </row>
    <row r="9" spans="1:18" ht="135">
      <c r="A9" s="7" t="str">
        <f t="shared" si="0"/>
        <v>High Priority/Approved by PO</v>
      </c>
      <c r="B9" s="8" t="s">
        <v>34</v>
      </c>
      <c r="C9" s="9" t="s">
        <v>35</v>
      </c>
      <c r="D9" s="8" t="str">
        <f t="shared" si="1"/>
        <v>BE_RS_7</v>
      </c>
      <c r="E9" s="10">
        <v>46234</v>
      </c>
      <c r="F9" s="8" t="s">
        <v>71</v>
      </c>
      <c r="G9" s="8" t="s">
        <v>72</v>
      </c>
      <c r="H9" s="12" t="s">
        <v>38</v>
      </c>
      <c r="I9" s="12" t="s">
        <v>73</v>
      </c>
      <c r="J9" s="12" t="s">
        <v>74</v>
      </c>
      <c r="K9" s="12" t="s">
        <v>75</v>
      </c>
      <c r="L9" s="12" t="s">
        <v>76</v>
      </c>
      <c r="M9" s="13" t="s">
        <v>77</v>
      </c>
      <c r="N9" s="14" t="s">
        <v>78</v>
      </c>
      <c r="O9" s="15" t="s">
        <v>45</v>
      </c>
      <c r="P9" s="12"/>
      <c r="Q9" s="8"/>
      <c r="R9" s="16"/>
    </row>
    <row r="10" spans="1:18" ht="135">
      <c r="A10" s="7" t="str">
        <f t="shared" si="0"/>
        <v>Medium Priority/Approved by PO</v>
      </c>
      <c r="B10" s="8" t="s">
        <v>79</v>
      </c>
      <c r="C10" s="9" t="s">
        <v>35</v>
      </c>
      <c r="D10" s="8" t="str">
        <f t="shared" si="1"/>
        <v>BE_RS_8</v>
      </c>
      <c r="E10" s="10">
        <v>46234</v>
      </c>
      <c r="F10" s="8" t="s">
        <v>71</v>
      </c>
      <c r="G10" s="8" t="s">
        <v>80</v>
      </c>
      <c r="H10" s="8" t="s">
        <v>81</v>
      </c>
      <c r="I10" s="12" t="s">
        <v>73</v>
      </c>
      <c r="J10" s="12" t="s">
        <v>74</v>
      </c>
      <c r="K10" s="12" t="s">
        <v>75</v>
      </c>
      <c r="L10" s="12" t="s">
        <v>82</v>
      </c>
      <c r="M10" s="13" t="s">
        <v>83</v>
      </c>
      <c r="N10" s="14" t="s">
        <v>84</v>
      </c>
      <c r="O10" s="15" t="s">
        <v>45</v>
      </c>
      <c r="P10" s="12"/>
      <c r="Q10" s="8"/>
      <c r="R10" s="16"/>
    </row>
    <row r="11" spans="1:18" s="25" customFormat="1" ht="123.75">
      <c r="A11" s="18" t="str">
        <f t="shared" si="0"/>
        <v>Medium Priority/Approved by PO</v>
      </c>
      <c r="B11" s="19" t="s">
        <v>79</v>
      </c>
      <c r="C11" s="20" t="s">
        <v>35</v>
      </c>
      <c r="D11" s="19" t="str">
        <f t="shared" si="1"/>
        <v>BE_RS_9</v>
      </c>
      <c r="E11" s="21">
        <v>46234</v>
      </c>
      <c r="F11" s="19" t="s">
        <v>71</v>
      </c>
      <c r="G11" s="19" t="s">
        <v>85</v>
      </c>
      <c r="H11" s="19" t="s">
        <v>81</v>
      </c>
      <c r="I11" s="22" t="s">
        <v>73</v>
      </c>
      <c r="J11" s="22" t="s">
        <v>86</v>
      </c>
      <c r="K11" s="19" t="s">
        <v>87</v>
      </c>
      <c r="L11" s="22" t="s">
        <v>88</v>
      </c>
      <c r="M11" s="13" t="s">
        <v>89</v>
      </c>
      <c r="N11" s="22" t="s">
        <v>90</v>
      </c>
      <c r="O11" s="23" t="s">
        <v>91</v>
      </c>
      <c r="P11" s="22"/>
      <c r="Q11" s="19"/>
      <c r="R11" s="24"/>
    </row>
    <row r="12" spans="1:18" s="25" customFormat="1" ht="112.5">
      <c r="A12" s="18" t="str">
        <f t="shared" si="0"/>
        <v>High Priority/Approved by PO</v>
      </c>
      <c r="B12" s="19" t="s">
        <v>34</v>
      </c>
      <c r="C12" s="20" t="s">
        <v>35</v>
      </c>
      <c r="D12" s="19" t="str">
        <f t="shared" si="1"/>
        <v>BE_RS_10</v>
      </c>
      <c r="E12" s="21">
        <v>46234</v>
      </c>
      <c r="F12" s="19" t="s">
        <v>71</v>
      </c>
      <c r="G12" s="19" t="s">
        <v>92</v>
      </c>
      <c r="H12" s="19" t="s">
        <v>81</v>
      </c>
      <c r="I12" s="22" t="s">
        <v>73</v>
      </c>
      <c r="J12" s="22" t="s">
        <v>93</v>
      </c>
      <c r="K12" s="19" t="s">
        <v>87</v>
      </c>
      <c r="L12" s="22" t="s">
        <v>94</v>
      </c>
      <c r="M12" s="13" t="s">
        <v>95</v>
      </c>
      <c r="N12" s="22" t="s">
        <v>96</v>
      </c>
      <c r="O12" s="23" t="s">
        <v>91</v>
      </c>
      <c r="P12" s="22"/>
      <c r="Q12" s="19"/>
      <c r="R12" s="24"/>
    </row>
    <row r="13" spans="1:18" ht="56.25">
      <c r="A13" s="7" t="str">
        <f t="shared" si="0"/>
        <v>Low Priority/Approved by PO</v>
      </c>
      <c r="B13" s="8" t="s">
        <v>97</v>
      </c>
      <c r="C13" s="9" t="s">
        <v>35</v>
      </c>
      <c r="D13" s="8" t="str">
        <f t="shared" si="1"/>
        <v>BE_RS_11</v>
      </c>
      <c r="E13" s="10">
        <v>46234</v>
      </c>
      <c r="F13" s="8" t="s">
        <v>71</v>
      </c>
      <c r="G13" s="8" t="s">
        <v>98</v>
      </c>
      <c r="H13" s="8" t="s">
        <v>81</v>
      </c>
      <c r="I13" s="8" t="s">
        <v>39</v>
      </c>
      <c r="J13" s="12" t="s">
        <v>99</v>
      </c>
      <c r="K13" s="12" t="s">
        <v>36</v>
      </c>
      <c r="L13" s="12" t="s">
        <v>100</v>
      </c>
      <c r="M13" s="13" t="s">
        <v>101</v>
      </c>
      <c r="N13" s="13" t="s">
        <v>102</v>
      </c>
      <c r="O13" s="15" t="s">
        <v>45</v>
      </c>
      <c r="P13" s="12"/>
      <c r="Q13" s="8"/>
      <c r="R13" s="16"/>
    </row>
    <row r="14" spans="1:18" ht="112.5">
      <c r="A14" s="7" t="str">
        <f t="shared" si="0"/>
        <v>High Priority/Approved by PO</v>
      </c>
      <c r="B14" s="8" t="s">
        <v>34</v>
      </c>
      <c r="C14" s="9" t="s">
        <v>35</v>
      </c>
      <c r="D14" s="8" t="str">
        <f t="shared" si="1"/>
        <v>BE_RS_12</v>
      </c>
      <c r="E14" s="10">
        <v>46234</v>
      </c>
      <c r="F14" s="8" t="s">
        <v>103</v>
      </c>
      <c r="G14" s="8" t="s">
        <v>104</v>
      </c>
      <c r="H14" s="12" t="s">
        <v>38</v>
      </c>
      <c r="I14" s="8" t="s">
        <v>39</v>
      </c>
      <c r="J14" s="12" t="s">
        <v>105</v>
      </c>
      <c r="K14" s="12" t="s">
        <v>106</v>
      </c>
      <c r="L14" s="12" t="s">
        <v>107</v>
      </c>
      <c r="M14" s="13" t="s">
        <v>108</v>
      </c>
      <c r="N14" s="14" t="s">
        <v>109</v>
      </c>
      <c r="O14" s="15" t="s">
        <v>45</v>
      </c>
      <c r="P14" s="12"/>
      <c r="Q14" s="8"/>
      <c r="R14" s="16"/>
    </row>
    <row r="15" spans="1:18" ht="67.5">
      <c r="A15" s="7" t="str">
        <f t="shared" si="0"/>
        <v>High Priority/Approved by PO</v>
      </c>
      <c r="B15" s="8" t="s">
        <v>34</v>
      </c>
      <c r="C15" s="9" t="s">
        <v>35</v>
      </c>
      <c r="D15" s="8" t="str">
        <f t="shared" si="1"/>
        <v>BE_RS_13</v>
      </c>
      <c r="E15" s="10">
        <v>46234</v>
      </c>
      <c r="F15" s="8" t="s">
        <v>110</v>
      </c>
      <c r="G15" s="8" t="s">
        <v>111</v>
      </c>
      <c r="H15" s="8" t="s">
        <v>112</v>
      </c>
      <c r="I15" s="8" t="s">
        <v>39</v>
      </c>
      <c r="J15" s="12" t="s">
        <v>113</v>
      </c>
      <c r="K15" s="12" t="s">
        <v>114</v>
      </c>
      <c r="L15" s="12" t="s">
        <v>57</v>
      </c>
      <c r="M15" s="13" t="s">
        <v>115</v>
      </c>
      <c r="N15" s="13" t="s">
        <v>116</v>
      </c>
      <c r="O15" s="15" t="s">
        <v>45</v>
      </c>
      <c r="P15" s="12"/>
      <c r="Q15" s="8"/>
      <c r="R15" s="16"/>
    </row>
    <row r="16" spans="1:18" ht="101.25">
      <c r="A16" s="7" t="str">
        <f t="shared" si="0"/>
        <v>Medium Priority/Approved by PO</v>
      </c>
      <c r="B16" s="8" t="s">
        <v>79</v>
      </c>
      <c r="C16" s="9" t="s">
        <v>35</v>
      </c>
      <c r="D16" s="8" t="str">
        <f t="shared" si="1"/>
        <v>BE_RS_14</v>
      </c>
      <c r="E16" s="10">
        <v>46234</v>
      </c>
      <c r="F16" s="8" t="s">
        <v>110</v>
      </c>
      <c r="G16" s="8" t="s">
        <v>117</v>
      </c>
      <c r="H16" s="12" t="s">
        <v>112</v>
      </c>
      <c r="I16" s="8" t="s">
        <v>39</v>
      </c>
      <c r="J16" s="12" t="s">
        <v>118</v>
      </c>
      <c r="K16" s="12" t="s">
        <v>114</v>
      </c>
      <c r="L16" s="12" t="s">
        <v>119</v>
      </c>
      <c r="M16" s="13" t="s">
        <v>120</v>
      </c>
      <c r="N16" s="13" t="s">
        <v>121</v>
      </c>
      <c r="O16" s="15" t="s">
        <v>45</v>
      </c>
      <c r="P16" s="12"/>
      <c r="Q16" s="8"/>
      <c r="R16" s="16"/>
    </row>
    <row r="17" spans="1:18" s="26" customFormat="1" ht="131.25" customHeight="1">
      <c r="A17" s="7" t="str">
        <f t="shared" si="0"/>
        <v>High Priority/Approved by PO</v>
      </c>
      <c r="B17" s="8" t="s">
        <v>34</v>
      </c>
      <c r="C17" s="9" t="s">
        <v>35</v>
      </c>
      <c r="D17" s="8" t="str">
        <f t="shared" si="1"/>
        <v>BE_RS_15</v>
      </c>
      <c r="E17" s="10">
        <v>46234</v>
      </c>
      <c r="F17" s="8" t="s">
        <v>36</v>
      </c>
      <c r="G17" s="8" t="s">
        <v>122</v>
      </c>
      <c r="H17" s="12" t="s">
        <v>38</v>
      </c>
      <c r="I17" s="8" t="s">
        <v>39</v>
      </c>
      <c r="J17" s="12" t="s">
        <v>123</v>
      </c>
      <c r="K17" s="12" t="s">
        <v>46</v>
      </c>
      <c r="L17" s="12" t="s">
        <v>119</v>
      </c>
      <c r="M17" s="13" t="s">
        <v>124</v>
      </c>
      <c r="N17" s="12" t="s">
        <v>125</v>
      </c>
      <c r="O17" s="15" t="s">
        <v>45</v>
      </c>
      <c r="P17" s="12"/>
      <c r="Q17" s="8"/>
      <c r="R17" s="16"/>
    </row>
  </sheetData>
  <autoFilter ref="A1:R17" xr:uid="{2421711B-9848-4E8D-B46F-DC9DE99EE117}"/>
  <mergeCells count="2">
    <mergeCell ref="A1:A2"/>
    <mergeCell ref="C1:C2"/>
  </mergeCells>
  <phoneticPr fontId="1" type="noConversion"/>
  <conditionalFormatting sqref="O3:O17">
    <cfRule type="cellIs" dxfId="5" priority="1" operator="equal">
      <formula>"To do"</formula>
    </cfRule>
    <cfRule type="cellIs" dxfId="4" priority="2" operator="equal">
      <formula>"N/A"</formula>
    </cfRule>
    <cfRule type="cellIs" dxfId="3" priority="3" operator="equal">
      <formula>"Blocked"</formula>
    </cfRule>
    <cfRule type="cellIs" dxfId="2" priority="4" operator="equal">
      <formula>"On Hold"</formula>
    </cfRule>
    <cfRule type="cellIs" dxfId="1" priority="5" operator="equal">
      <formula>"Passed"</formula>
    </cfRule>
    <cfRule type="cellIs" dxfId="0" priority="6" operator="equal">
      <formula>"Failed"</formula>
    </cfRule>
  </conditionalFormatting>
  <dataValidations count="4">
    <dataValidation type="date" allowBlank="1" showInputMessage="1" showErrorMessage="1" sqref="Q1 Q3:Q1048576" xr:uid="{4DC750A3-8B23-47AE-9497-7AD22F2666FD}">
      <formula1>46086</formula1>
      <formula2>46234</formula2>
    </dataValidation>
    <dataValidation type="list" allowBlank="1" showInputMessage="1" showErrorMessage="1" sqref="B3:B17" xr:uid="{BA06092D-019F-49D8-A06E-24E07CBB07D3}">
      <formula1>Priority</formula1>
    </dataValidation>
    <dataValidation type="list" allowBlank="1" showInputMessage="1" showErrorMessage="1" sqref="O3:O17" xr:uid="{58675066-A390-4A87-A88D-6549A3DBB95A}">
      <formula1>"To Do, Passed, Failed, On Hold, N/A, Blocked"</formula1>
    </dataValidation>
    <dataValidation type="list" allowBlank="1" showInputMessage="1" showErrorMessage="1" sqref="C1 C3:C1048576" xr:uid="{E43CD0DF-A9F6-4BE0-B2B5-B4E1B64363C5}">
      <formula1>"Under construction, Review ongoing, Approved by PO"</formula1>
    </dataValidation>
  </dataValidations>
  <pageMargins left="0.25" right="0.25" top="0.75" bottom="0.75" header="0.3" footer="0.3"/>
  <pageSetup paperSize="8" fitToHeight="0" orientation="landscape"/>
  <headerFooter>
    <oddFooter>&amp;C_x000D_&amp;1#&amp;"Aptos"&amp;10&amp;KFFEF00 PRIVATE</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bd0fd41-a690-4c36-a9a4-b75ba9f0d652" xsi:nil="true"/>
    <lcf76f155ced4ddcb4097134ff3c332f xmlns="845aad34-1f17-48e0-9448-411e5565d2f0">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4FB619BED06E1489613C5ECA7EAFABF" ma:contentTypeVersion="12" ma:contentTypeDescription="Create a new document." ma:contentTypeScope="" ma:versionID="bbce5bba2ee56c5894d051f5eb67db7e">
  <xsd:schema xmlns:xsd="http://www.w3.org/2001/XMLSchema" xmlns:xs="http://www.w3.org/2001/XMLSchema" xmlns:p="http://schemas.microsoft.com/office/2006/metadata/properties" xmlns:ns2="845aad34-1f17-48e0-9448-411e5565d2f0" xmlns:ns3="dbd0fd41-a690-4c36-a9a4-b75ba9f0d652" targetNamespace="http://schemas.microsoft.com/office/2006/metadata/properties" ma:root="true" ma:fieldsID="a639effef2c19a8b0423102411451b29" ns2:_="" ns3:_="">
    <xsd:import namespace="845aad34-1f17-48e0-9448-411e5565d2f0"/>
    <xsd:import namespace="dbd0fd41-a690-4c36-a9a4-b75ba9f0d65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45aad34-1f17-48e0-9448-411e5565d2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56448b7c-b198-4f3f-91b4-0f03f23d7cff"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bd0fd41-a690-4c36-a9a4-b75ba9f0d652"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28827ec9-78a5-473b-8273-0c2c4dc10778}" ma:internalName="TaxCatchAll" ma:showField="CatchAllData" ma:web="dbd0fd41-a690-4c36-a9a4-b75ba9f0d65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F9C9748-1B60-4258-906B-0A055334FF73}"/>
</file>

<file path=customXml/itemProps2.xml><?xml version="1.0" encoding="utf-8"?>
<ds:datastoreItem xmlns:ds="http://schemas.openxmlformats.org/officeDocument/2006/customXml" ds:itemID="{C69FCF18-2540-4854-8028-0CD4D6A3D2A1}"/>
</file>

<file path=customXml/itemProps3.xml><?xml version="1.0" encoding="utf-8"?>
<ds:datastoreItem xmlns:ds="http://schemas.openxmlformats.org/officeDocument/2006/customXml" ds:itemID="{3FACF023-FB8A-4EF9-9C6B-26709BA1F68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2026-01-08T06:56:03Z</dcterms:created>
  <dcterms:modified xsi:type="dcterms:W3CDTF">2026-01-22T13:53:31Z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c0b9ce6-6e99-42a1-af95-429494370cbc_Enabled">
    <vt:lpwstr>true</vt:lpwstr>
  </property>
  <property fmtid="{D5CDD505-2E9C-101B-9397-08002B2CF9AE}" pid="3" name="MSIP_Label_ac0b9ce6-6e99-42a1-af95-429494370cbc_SetDate">
    <vt:lpwstr>2026-01-08T06:56:08Z</vt:lpwstr>
  </property>
  <property fmtid="{D5CDD505-2E9C-101B-9397-08002B2CF9AE}" pid="4" name="MSIP_Label_ac0b9ce6-6e99-42a1-af95-429494370cbc_Method">
    <vt:lpwstr>Standard</vt:lpwstr>
  </property>
  <property fmtid="{D5CDD505-2E9C-101B-9397-08002B2CF9AE}" pid="5" name="MSIP_Label_ac0b9ce6-6e99-42a1-af95-429494370cbc_Name">
    <vt:lpwstr>ac0b9ce6-6e99-42a1-af95-429494370cbc</vt:lpwstr>
  </property>
  <property fmtid="{D5CDD505-2E9C-101B-9397-08002B2CF9AE}" pid="6" name="MSIP_Label_ac0b9ce6-6e99-42a1-af95-429494370cbc_SiteId">
    <vt:lpwstr>315b1ee5-c224-498b-871e-c140611d6d07</vt:lpwstr>
  </property>
  <property fmtid="{D5CDD505-2E9C-101B-9397-08002B2CF9AE}" pid="7" name="MSIP_Label_ac0b9ce6-6e99-42a1-af95-429494370cbc_ActionId">
    <vt:lpwstr>95527050-ac35-4453-a256-2f1566d515e1</vt:lpwstr>
  </property>
  <property fmtid="{D5CDD505-2E9C-101B-9397-08002B2CF9AE}" pid="8" name="MSIP_Label_ac0b9ce6-6e99-42a1-af95-429494370cbc_ContentBits">
    <vt:lpwstr>2</vt:lpwstr>
  </property>
  <property fmtid="{D5CDD505-2E9C-101B-9397-08002B2CF9AE}" pid="9" name="MSIP_Label_ac0b9ce6-6e99-42a1-af95-429494370cbc_Tag">
    <vt:lpwstr>10, 3, 0, 2</vt:lpwstr>
  </property>
  <property fmtid="{D5CDD505-2E9C-101B-9397-08002B2CF9AE}" pid="10" name="ContentTypeId">
    <vt:lpwstr>0x01010084FB619BED06E1489613C5ECA7EAFABF</vt:lpwstr>
  </property>
  <property fmtid="{D5CDD505-2E9C-101B-9397-08002B2CF9AE}" pid="11" name="MediaServiceImageTags">
    <vt:lpwstr/>
  </property>
</Properties>
</file>