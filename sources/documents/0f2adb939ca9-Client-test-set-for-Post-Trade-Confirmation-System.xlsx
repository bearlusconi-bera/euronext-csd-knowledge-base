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https://euronext-my.sharepoint.com/personal/amadouasse_euronext_com/Documents/Desktop/"/>
    </mc:Choice>
  </mc:AlternateContent>
  <xr:revisionPtr revIDLastSave="0" documentId="8_{CC231476-62F1-4C82-B40D-71F2C98D6801}" xr6:coauthVersionLast="47" xr6:coauthVersionMax="47" xr10:uidLastSave="{00000000-0000-0000-0000-000000000000}"/>
  <bookViews>
    <workbookView xWindow="-108" yWindow="-108" windowWidth="23256" windowHeight="13896" xr2:uid="{00000000-000D-0000-FFFF-FFFF00000000}"/>
  </bookViews>
  <sheets>
    <sheet name="PTCS FE App" sheetId="2" r:id="rId1"/>
  </sheets>
  <definedNames>
    <definedName name="Priority">'PTCS FE App'!$C$1:$C$4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8" i="2" l="1"/>
  <c r="A108" i="2"/>
  <c r="D107" i="2"/>
  <c r="A107" i="2"/>
  <c r="D106" i="2"/>
  <c r="A106" i="2"/>
  <c r="D105" i="2"/>
  <c r="A105" i="2"/>
  <c r="D104" i="2"/>
  <c r="A104" i="2"/>
  <c r="D103" i="2"/>
  <c r="A103" i="2"/>
  <c r="D102" i="2"/>
  <c r="A102" i="2"/>
  <c r="D101" i="2"/>
  <c r="A101" i="2"/>
  <c r="D100" i="2"/>
  <c r="A100" i="2"/>
  <c r="D99" i="2"/>
  <c r="A99" i="2"/>
  <c r="D98" i="2"/>
  <c r="A98" i="2"/>
  <c r="D97" i="2"/>
  <c r="A97" i="2"/>
  <c r="D96" i="2"/>
  <c r="A96" i="2"/>
  <c r="D95" i="2"/>
  <c r="A95" i="2"/>
  <c r="D94" i="2"/>
  <c r="A94" i="2"/>
  <c r="D93" i="2"/>
  <c r="A93" i="2"/>
  <c r="D92" i="2"/>
  <c r="A92" i="2"/>
  <c r="D91" i="2"/>
  <c r="A91" i="2"/>
  <c r="D90" i="2"/>
  <c r="A90" i="2"/>
  <c r="D89" i="2"/>
  <c r="A89" i="2"/>
  <c r="D88" i="2"/>
  <c r="A88" i="2"/>
  <c r="D87" i="2"/>
  <c r="A87" i="2"/>
  <c r="D86" i="2"/>
  <c r="A86" i="2"/>
  <c r="D85" i="2"/>
  <c r="A85" i="2"/>
  <c r="D84" i="2"/>
  <c r="A84" i="2"/>
  <c r="D83" i="2"/>
  <c r="A83" i="2"/>
  <c r="D82" i="2"/>
  <c r="A82" i="2"/>
  <c r="D81" i="2"/>
  <c r="A81" i="2"/>
  <c r="D80" i="2"/>
  <c r="A80" i="2"/>
  <c r="D79" i="2"/>
  <c r="A79" i="2"/>
  <c r="D78" i="2"/>
  <c r="A78" i="2"/>
  <c r="D77" i="2"/>
  <c r="A77" i="2"/>
  <c r="D76" i="2"/>
  <c r="A76" i="2"/>
  <c r="D75" i="2"/>
  <c r="A75" i="2"/>
  <c r="D74" i="2"/>
  <c r="A74" i="2"/>
  <c r="D73" i="2"/>
  <c r="A73" i="2"/>
  <c r="D72" i="2"/>
  <c r="A72" i="2"/>
  <c r="D71" i="2"/>
  <c r="A71" i="2"/>
  <c r="D70" i="2"/>
  <c r="A70" i="2"/>
  <c r="D69" i="2"/>
  <c r="A69" i="2"/>
  <c r="D68" i="2"/>
  <c r="A68" i="2"/>
  <c r="D67" i="2"/>
  <c r="A67" i="2"/>
  <c r="D66" i="2"/>
  <c r="A66" i="2"/>
  <c r="D65" i="2"/>
  <c r="A65" i="2"/>
  <c r="D64" i="2"/>
  <c r="A64" i="2"/>
  <c r="D63" i="2"/>
  <c r="A63" i="2"/>
  <c r="D62" i="2"/>
  <c r="A62" i="2"/>
  <c r="D61" i="2"/>
  <c r="A61" i="2"/>
  <c r="D60" i="2"/>
  <c r="A60" i="2"/>
  <c r="D59" i="2"/>
  <c r="A59" i="2"/>
  <c r="D58" i="2"/>
  <c r="A58" i="2"/>
  <c r="D57" i="2"/>
  <c r="A57" i="2"/>
  <c r="D56" i="2"/>
  <c r="A56" i="2"/>
  <c r="D55" i="2"/>
  <c r="A55" i="2"/>
  <c r="D54" i="2"/>
  <c r="A54" i="2"/>
  <c r="D53" i="2"/>
  <c r="A53" i="2"/>
  <c r="D52" i="2"/>
  <c r="A52" i="2"/>
  <c r="D51" i="2"/>
  <c r="A51" i="2"/>
  <c r="D50" i="2"/>
  <c r="A50" i="2"/>
  <c r="D49" i="2"/>
  <c r="A49" i="2"/>
  <c r="D48" i="2"/>
  <c r="A48" i="2"/>
  <c r="D47" i="2"/>
  <c r="A47" i="2"/>
  <c r="D46" i="2"/>
  <c r="A46" i="2"/>
  <c r="D45" i="2"/>
  <c r="A45" i="2"/>
  <c r="D44" i="2"/>
  <c r="A44" i="2"/>
  <c r="D43" i="2"/>
  <c r="A43" i="2"/>
  <c r="D42" i="2"/>
  <c r="A42" i="2"/>
  <c r="D41" i="2"/>
  <c r="A41" i="2"/>
  <c r="D40" i="2"/>
  <c r="A40" i="2"/>
  <c r="D39" i="2"/>
  <c r="A39" i="2"/>
  <c r="D38" i="2"/>
  <c r="A38" i="2"/>
  <c r="D37" i="2"/>
  <c r="A37" i="2"/>
  <c r="D36" i="2"/>
  <c r="A36" i="2"/>
  <c r="D35" i="2"/>
  <c r="A35" i="2"/>
  <c r="D34" i="2"/>
  <c r="A34" i="2"/>
  <c r="D33" i="2"/>
  <c r="A33" i="2"/>
  <c r="D32" i="2"/>
  <c r="A32" i="2"/>
  <c r="D31" i="2"/>
  <c r="A31" i="2"/>
  <c r="D30" i="2"/>
  <c r="A30" i="2"/>
  <c r="D29" i="2"/>
  <c r="A29" i="2"/>
  <c r="D28" i="2"/>
  <c r="A28" i="2"/>
  <c r="D27" i="2"/>
  <c r="A27" i="2"/>
  <c r="D26" i="2"/>
  <c r="A26" i="2"/>
  <c r="D25" i="2"/>
  <c r="A25" i="2"/>
  <c r="D24" i="2"/>
  <c r="A24" i="2"/>
  <c r="D23" i="2"/>
  <c r="A23" i="2"/>
  <c r="D22" i="2"/>
  <c r="A22" i="2"/>
  <c r="D21" i="2"/>
  <c r="A21" i="2"/>
  <c r="D20" i="2"/>
  <c r="A20" i="2"/>
  <c r="D19" i="2"/>
  <c r="A19" i="2"/>
  <c r="D18" i="2"/>
  <c r="A18" i="2"/>
  <c r="D17" i="2"/>
  <c r="A17" i="2"/>
  <c r="D16" i="2"/>
  <c r="A16" i="2"/>
  <c r="D15" i="2"/>
  <c r="A15" i="2"/>
  <c r="D14" i="2"/>
  <c r="A14" i="2"/>
  <c r="D13" i="2"/>
  <c r="A13" i="2"/>
  <c r="D12" i="2"/>
  <c r="A12" i="2"/>
  <c r="D11" i="2"/>
  <c r="A11" i="2"/>
  <c r="D10" i="2"/>
  <c r="A10" i="2"/>
  <c r="D9" i="2"/>
  <c r="A9" i="2"/>
  <c r="D8" i="2"/>
  <c r="A8" i="2"/>
  <c r="D7" i="2"/>
  <c r="A7" i="2"/>
  <c r="D6" i="2"/>
  <c r="A6" i="2"/>
  <c r="D5" i="2"/>
  <c r="A5" i="2"/>
  <c r="D4" i="2"/>
  <c r="A4" i="2"/>
  <c r="D3" i="2"/>
  <c r="A3" i="2"/>
</calcChain>
</file>

<file path=xl/sharedStrings.xml><?xml version="1.0" encoding="utf-8"?>
<sst xmlns="http://schemas.openxmlformats.org/spreadsheetml/2006/main" count="1306" uniqueCount="345">
  <si>
    <t>Ref_Key</t>
  </si>
  <si>
    <t>Priority</t>
  </si>
  <si>
    <t>Test Design Status</t>
  </si>
  <si>
    <t>TEST Case</t>
  </si>
  <si>
    <t>ETA</t>
  </si>
  <si>
    <t>Main Topic</t>
  </si>
  <si>
    <t>Functionality</t>
  </si>
  <si>
    <t>Application</t>
  </si>
  <si>
    <t>Role / User Profile</t>
  </si>
  <si>
    <t>Pre-requisites</t>
  </si>
  <si>
    <t>Dependencies</t>
  </si>
  <si>
    <t>References</t>
  </si>
  <si>
    <t xml:space="preserve">Description </t>
  </si>
  <si>
    <t>Expected Result</t>
  </si>
  <si>
    <t>Testing status</t>
  </si>
  <si>
    <t>Testing Comments</t>
  </si>
  <si>
    <t>Last Day Execution</t>
  </si>
  <si>
    <t>BUG Ref</t>
  </si>
  <si>
    <t>Test relevance</t>
  </si>
  <si>
    <t>Numerical ID of the test case</t>
  </si>
  <si>
    <t>Planned date for completion</t>
  </si>
  <si>
    <t>General topic object of the test case</t>
  </si>
  <si>
    <t>Specific functionality of the test case</t>
  </si>
  <si>
    <t>Application or module being tested</t>
  </si>
  <si>
    <t>Type of client targeted by the test case</t>
  </si>
  <si>
    <t>Conditions or setup needed before testing</t>
  </si>
  <si>
    <t>Tests or systems that must be completed first</t>
  </si>
  <si>
    <t>Related documents or requirements</t>
  </si>
  <si>
    <t>Detailed description of the test case</t>
  </si>
  <si>
    <t>Anticipated outcome of the test</t>
  </si>
  <si>
    <t>Specify test outcome</t>
  </si>
  <si>
    <t>Report notes / comments if needed</t>
  </si>
  <si>
    <t>Specify test execution date</t>
  </si>
  <si>
    <t>Identifier for any bugs found</t>
  </si>
  <si>
    <t>High Priority</t>
  </si>
  <si>
    <t>Approved by PO</t>
  </si>
  <si>
    <t>Access control</t>
  </si>
  <si>
    <t>Application access</t>
  </si>
  <si>
    <t>PTCS</t>
  </si>
  <si>
    <t>Broker</t>
  </si>
  <si>
    <t>Credentials available</t>
  </si>
  <si>
    <t>User profile must be configured as Broker; onboarding completed</t>
  </si>
  <si>
    <t>User Guide section 2.1</t>
  </si>
  <si>
    <t>Verify that a Broker user can access the PTCS App using the OKTA tool</t>
  </si>
  <si>
    <t>Broker user successfully accesses the PTCS App</t>
  </si>
  <si>
    <t>To Do</t>
  </si>
  <si>
    <t>Custodian</t>
  </si>
  <si>
    <t>User profile must be configured as Custodian; onboarding completed</t>
  </si>
  <si>
    <t>Verify that a Custodian user can access the PTCS App using the OKTA tool</t>
  </si>
  <si>
    <t>Custodian user successfully accesses the PTCS App</t>
  </si>
  <si>
    <t>Authentication</t>
  </si>
  <si>
    <t>Valid login</t>
  </si>
  <si>
    <t>User Guide section 2.2</t>
  </si>
  <si>
    <t>Verify that a Broker user can log in using valid credentials</t>
  </si>
  <si>
    <t>Broker user is authorised to log in</t>
  </si>
  <si>
    <t>Verify that a Custodian user can log in using valid credentials</t>
  </si>
  <si>
    <t>Custodian user is authorised to log in</t>
  </si>
  <si>
    <t>Cash Order Test</t>
  </si>
  <si>
    <t>Cash Order E2E based on client choice (i.e. Cross-Csd)</t>
  </si>
  <si>
    <t>Broker-Custodian link confirmed; test transaction created in PTCS; ISIN admitted in PTCS</t>
  </si>
  <si>
    <t>Custodian must be linked and active</t>
  </si>
  <si>
    <t>User Guide section 4.2; Service Description section 3.1</t>
  </si>
  <si>
    <t>Verify that the transaction appears with accurate status, correct timeline and message history (MT510, MT502/MT503), and that message files can be downloaded at each lifecycle stage</t>
  </si>
  <si>
    <t>Transaction is displayed with correct data. Status progresses from “Waiting Confirmation” to “Settlement Accepted”. Timeline and downloads correct</t>
  </si>
  <si>
    <t>Cash Order accepted by Custodian</t>
  </si>
  <si>
    <t>Verify that the transaction appears with accurate status, correct timeline and message history (MT510, MT502), and that message files can be downloaded at each lifecycle stage</t>
  </si>
  <si>
    <t>Transaction is visible, status is “confirmed”, data and downloads correct</t>
  </si>
  <si>
    <t>Cash Order refused by Custodian</t>
  </si>
  <si>
    <t>Verify that when a Custodian refuses a cash order, the transaction status updates to "Refused", the timeline reflects the refusal event, the correct message history (MT510, MT503) is displayed, and the refusal reason is visible. All related message files should be downloadable</t>
  </si>
  <si>
    <t>Transaction is displayed with status "Refused". Refusal reason is shown. Timeline and message history (MT510, MT503) are correct. All message files are available for download</t>
  </si>
  <si>
    <t>Cash Order rejected by PTCS</t>
  </si>
  <si>
    <t>No dependencies</t>
  </si>
  <si>
    <t>Verify that when PTCS rejects a cash order (e.g. due to validation failure, missing data, or technical error), the transaction status updates to "Rejected", the timeline reflects the rejection event, the correct message history is displayed, and the rejection reason or error code is visible. All related message files should be downloadable</t>
  </si>
  <si>
    <t>Transaction is displayed with status "Rejected". Rejection reason or error code is shown. Timeline and message history are correct. All message files are available for download</t>
  </si>
  <si>
    <t>Broker must have submitted transaction</t>
  </si>
  <si>
    <t>DSS Test</t>
  </si>
  <si>
    <t>DSS E2E based on Client choice (i.e. Cross-Csd)</t>
  </si>
  <si>
    <t>Broker-Custodian link confirmed; DSS-eligible ISIN; DSS eligibility dates valid</t>
  </si>
  <si>
    <t>User Guide section 5.1; Service Description section 4.2</t>
  </si>
  <si>
    <t>Verify that the DSS transaction appears with accurate status, correct timeline and message history (MT510, MT502/MT503), and that message files can be downloaded at each lifecycle stage</t>
  </si>
  <si>
    <t>DSS transaction is displayed with correct data. Status progresses to “Settlement Accepted”. Timeline correct</t>
  </si>
  <si>
    <t>DSS accepted by Custodian</t>
  </si>
  <si>
    <t>Verify that the DSS transaction appears with accurate status, correct timeline and message history (MT510, MT502), and that message files can be downloaded at each lifecycle stage</t>
  </si>
  <si>
    <t>DSS refused by Custodian</t>
  </si>
  <si>
    <t>Verify that when a Custodian refuses a DSS order, the transaction status updates to "Refused", the timeline reflects the refusal event, the correct message history (MT510, MT503) is displayed, and the refusal reason is visible. All related message files should be downloadable</t>
  </si>
  <si>
    <t>DSS transaction is displayed with status "Refused". Refusal reason is shown. Timeline and message history (MT510, MT503) are correct. All message files are available for download</t>
  </si>
  <si>
    <t>DSS rejected by PTCS</t>
  </si>
  <si>
    <t>Verify that when PTCS rejects a DSS order (e.g. due to validation failure, missing data, or technical error), the transaction status updates to "Rejected", the timeline reflects the rejection event, the correct message history is displayed, and the rejection reason or error code is visible. All related message files should be downloadable</t>
  </si>
  <si>
    <t>DSS transaction is displayed with status "Rejected". Rejection reason or error code is shown. Timeline and message history are correct. All message files are available for download</t>
  </si>
  <si>
    <t>DSS Postponement Test</t>
  </si>
  <si>
    <t>Buyer initiated</t>
  </si>
  <si>
    <t>DSS-eligible ISIN
Original DSS transaction created and pending liquidation</t>
  </si>
  <si>
    <t>Validate that PTCS correctly processes a buyer’s request to postpone settlement</t>
  </si>
  <si>
    <t>PTCS updates DSS transaction status to “Postponed”; Liquidation date recalculated; MT502 confirmation sent to Custodian; GUI reflects new date and postponement reason</t>
  </si>
  <si>
    <t>Seller initiated</t>
  </si>
  <si>
    <t>Validate that PTCS correctly processes a seller's request to postpone settlement</t>
  </si>
  <si>
    <t>Low Priority</t>
  </si>
  <si>
    <t>DSS Late instruction handling</t>
  </si>
  <si>
    <t>DSS-eligible ISIN; DSS transaction created and pending; cut-off time for DSS instruction has passed</t>
  </si>
  <si>
    <t>Verify that when a Broker submits a DSS instruction after the cut-off time, PTCS identifies the instruction as late, rejects it, and provides a clear error message and audit trail</t>
  </si>
  <si>
    <t>PTCS rejects the late DSS instruction. Error code and rejection reason are displayed in the Invalid Messages tab. Audit trail logs the rejection event and timestamp</t>
  </si>
  <si>
    <t>Not to be tested</t>
  </si>
  <si>
    <t>Verify that when a Custodian accepts a DSS instruction after the cut-off time, PTCS identifies the instruction as late, rejects it, and provides a clear error message and audit trail</t>
  </si>
  <si>
    <t>Medium Priority</t>
  </si>
  <si>
    <t>Corporate Action Test</t>
  </si>
  <si>
    <t>Cash dividend (DVCA) late notification</t>
  </si>
  <si>
    <t>Broker–Custodian link confirmed.
DSS-eligible ISIN admitted in PTCS.
DSS eligibility dates valid.
MT564 CA announcement injected after cut-off time (simulate late notification).
PTCS configured to enforce cut-off rules.</t>
  </si>
  <si>
    <t>DSS transaction must be created and pending; CA event must be injected after cut-off; PTCS must be configured for cut-off enforcement</t>
  </si>
  <si>
    <t>Service Description section 10</t>
  </si>
  <si>
    <t>Validate PTCS behaviour when a Corporate Action notification (DVCA) is received after the cut-off date/time. Ensure the system rejects the event and logs the error according to DBR rules</t>
  </si>
  <si>
    <t>MT564 message is rejected by PTCS. Error code displayed in Invalid Messages tab (e.g., “Late CA Notification”). GUI shows alert for rejected CA event. No update to CA table or DSS positions. Audit trail logs rejection reason and timestamp</t>
  </si>
  <si>
    <t>Cash dividend (DVSE) late notification</t>
  </si>
  <si>
    <t>Validate PTCS behaviour when a Corporate Action notification (DVSE) is received after the cut-off date/time. Ensure the system rejects the event and logs the error according to DBR rules</t>
  </si>
  <si>
    <t>Cash dividend (DVCA) notification cancellation/withdrawal while already applied on a deferred settlement transaction</t>
  </si>
  <si>
    <t>Broker–Custodian link confirmed, 
DSS-eligible ISIN admitted in PTCS.
DSS eligibility dates valid.
MT564 CA announcement injected, applied on a deferred settlement transaction and cancelled/withdrawn before the end of the liquidation period.
PTCS processes "entitlement" cancellation and liquidation balance adjustments</t>
  </si>
  <si>
    <t>DSS transaction must be created and have the CA event applied before cancellation/withdrawal</t>
  </si>
  <si>
    <t>Validate PTCS behaviour when a Corporate Action notification (DVCA) is received, applied as expected, but finally cancelled or withdrawn</t>
  </si>
  <si>
    <t>PTCS processes the cancellation/withdrawal. Entitlement is reversed and liquidation balances are adjusted. GUI and audit trail reflect the cancellation event</t>
  </si>
  <si>
    <t>Security distribution (e.g., DVSE) notification cancellation/withdrawal while already applied on a deferred settlement transaction</t>
  </si>
  <si>
    <t>Validate PTCS behaviour when a Corporate Action notification (DVSE) is received, applied as expected, but finally cancelled or withdrawn</t>
  </si>
  <si>
    <t>Mandatory reorganisation (e.g., DVSE) notification cancellation/withdrawal while already applied on a deferred settlement transaction</t>
  </si>
  <si>
    <t>Validate PTCS behaviour when a Corporate Action notification (PARI) is received, applied as expected, but finally cancelled or withdrawn</t>
  </si>
  <si>
    <t>Update of CA table after announcement - DVCA</t>
  </si>
  <si>
    <t>CA event received via MT564; ISIN admitted in PTCS</t>
  </si>
  <si>
    <t>User Guide section 7.1; Service Description section 6.1</t>
  </si>
  <si>
    <t>Verify the system updates the CA table with details from a received CA announcement (e.g. DVCA event, event date, ISIN)</t>
  </si>
  <si>
    <t>CA table reflects the mandatory event with all details</t>
  </si>
  <si>
    <t>Update of CA table after announcement - DVSE</t>
  </si>
  <si>
    <t>Verify the system updates the CA table with details from a received CA announcement (e.g. DVSE event, event date, ISIN).</t>
  </si>
  <si>
    <t>CA table reflects the mandatory event with all details.</t>
  </si>
  <si>
    <t>Update of CA table after announcement - BONU</t>
  </si>
  <si>
    <t>Verify the system updates the CA table with details from a received CA announcement (e.g. BONU event, event date, ISIN).</t>
  </si>
  <si>
    <t>Update of CA table after announcement - PARI</t>
  </si>
  <si>
    <t>Verify the system updates the CA table with details from a received CA announcement (e.g. PARI event, event date, ISIN).</t>
  </si>
  <si>
    <t>CA Notification with Missing Mandatory Fields (e.g., DVCA)</t>
  </si>
  <si>
    <t>Inject MT564 with missing ISIN or Maturity Date</t>
  </si>
  <si>
    <t>User Guide section 7.2; Service Description section 6.2</t>
  </si>
  <si>
    <t>Validate how PTCS behaves when a CA is received with missing mandatory fields. Check for functional rejection in Invalid Messages.</t>
  </si>
  <si>
    <t>Message is rejected, error code and missing fields shown in Invalid Messages.</t>
  </si>
  <si>
    <t>Cash dividend (DVCA) announcement on a DSS transaction - net buyer</t>
  </si>
  <si>
    <t>Broker-Custodian link confirmed; DSS-eligible ISIN; DSS eligibility dates valid, MT564 DVCA announcement, no update, applicable on the liquidation month</t>
  </si>
  <si>
    <t>DSS transaction must be created and pending; CA event must be injected before liquidation</t>
  </si>
  <si>
    <t>Validate the accuracy of the DSS transaction and end-of-month liquidation during the application of a DVCA event to the net buying deferred transaction.</t>
  </si>
  <si>
    <t>The transaction is visible, with the DVCA applied to the net buyer quantity, and settlement instructions for securities and cash have been duly processed and confirmed.</t>
  </si>
  <si>
    <t>Cash dividend (DVCA) announcement on a DSS transaction - net seller</t>
  </si>
  <si>
    <t>Validate the accuracy of the DSS transaction and end-of-month liquidation during the application of a DVCA event to the net selling deferred transaction.</t>
  </si>
  <si>
    <t>The transaction is visible, with the DVCA applied to the net seller quantity, and settlement instructions for securities and cash have been duly processed and confirmed.</t>
  </si>
  <si>
    <t>Security dividend (DVSE) announcement on a DSS transaction - net buyer</t>
  </si>
  <si>
    <t>Broker-Custodian link confirmed; DSS-eligible ISIN; DSS eligibility dates valid, MT564 DVSE announcement, no update, applicable on the liquidation month</t>
  </si>
  <si>
    <t>Validate the accuracy of the DSS transaction and end-of-month liquidation during the application of a DVSE event to the net buying deferred transaction.</t>
  </si>
  <si>
    <t>The transaction is visible, with the DVSE applied to the net buyer quantity, and settlement instructions for securities and cash have been duly processed and confirmed.</t>
  </si>
  <si>
    <t>Security dividend (DVSE) announcement on a DSS transaction - net seller</t>
  </si>
  <si>
    <t>Validate the accuracy of the DSS transaction and end-of-month liquidation during the application of a DVSE event to the net selling deferred transaction.</t>
  </si>
  <si>
    <t>The transaction is visible, with the DVSE applied to the net seller quantity, and settlement instructions for securities and cash have been duly processed and confirmed.</t>
  </si>
  <si>
    <t>Right distribution (RHDI) announcement on a DSS transaction - net buyer</t>
  </si>
  <si>
    <t>Broker-Custodian link confirmed; DSS-eligible ISIN; DSS eligibility dates valid, MT564 BONU announcement, no update, applicable on the liquidation month</t>
  </si>
  <si>
    <t>Validate the accuracy of the DSS transaction and end-of-month liquidation during the application of a BONU event to the net buying deferred transaction.</t>
  </si>
  <si>
    <t>The transaction is visible, with the BONU applied to the net buyer quantity, and market claim and settlement instructions for securities and cash have been duly processed and confirmed.</t>
  </si>
  <si>
    <t>Right distribution (RHDI) announcement on a DSS transaction - net seller</t>
  </si>
  <si>
    <t>Validate the accuracy of the DSS transaction and end-of-month liquidation during the application of a BONU event to the net selling deferred transaction.</t>
  </si>
  <si>
    <t>The transaction is visible, with the BONU applied to the net seller quantity, and market claim and settlement instructions for securities and cash have been duly processed and confirmed.</t>
  </si>
  <si>
    <t>Bonus issue (BONU) announcement on a DSS transaction - net buyer, without fraction compensation</t>
  </si>
  <si>
    <t>Bonus issue (BONU) announcement on a DSS transaction - net seller, without fraction compensation</t>
  </si>
  <si>
    <t>Bonus issue (BONU) announcement on a DSS transaction - net buyer, with fraction compensation</t>
  </si>
  <si>
    <t>Bonus issue (BONU) announcement on a DSS transaction - net seller, with fraction compensation</t>
  </si>
  <si>
    <t>The transaction is visible, with the BONU applied to the net selling quantity, and market claim and settlement instructions for securities and cash have been duly processed and confirmed.</t>
  </si>
  <si>
    <t>Validate PTCS behavior when a Corporate Action notification (DVCA) is received after the cut-off date/time. Ensure the system rejects the event and logs the error according to DBR rules.</t>
  </si>
  <si>
    <t>MT564 message is rejected by PTCS.
Error code displayed in Invalid Messages tab (e.g., “Late CA Notification”).
GUI shows alert for rejected CA event.
No update to CA table or DSS positions.
Audit trail logs rejection reason and timestamp..</t>
  </si>
  <si>
    <t>Validate PTCS behavior when a Corporate Action notification (DVSE) is received after the cut-off date/time. Ensure the system rejects the event and logs the error according to DBR rules.</t>
  </si>
  <si>
    <t>Validate PTCS behavior when a Corporate Action notification (e.g., DVCA) is received, applied as expected, but finaly cancelled or withdrawn.</t>
  </si>
  <si>
    <t>PTCS processes the cancellation/withdrawal. Entitlement is reversed and liquidation balances are adjusted. GUI and audit trail reflect the cancellation event.</t>
  </si>
  <si>
    <t>Validate PTCS behavior when a Corporate Action notification (e.g., DVSE) is received, applied as expected, but finaly cancelled or withdrawn.</t>
  </si>
  <si>
    <t>Validate PTCS behavior when a Corporate Action notification (e.g., PARI) is received, applied as expected, but finaly cancelled or withdrawn.</t>
  </si>
  <si>
    <t>Verify the system updates the CA table with details from a received CA announcement (e.g. DVCA event, event date, ISIN).</t>
  </si>
  <si>
    <t>CA Notification with Missing Mandatory Fields</t>
  </si>
  <si>
    <t>Statements Tab from My View screen</t>
  </si>
  <si>
    <t>Daily Cash Report</t>
  </si>
  <si>
    <t>Transactions processed in PTCS</t>
  </si>
  <si>
    <t>MT584 report must be generated; transactions must be processed and visible in PTCS</t>
  </si>
  <si>
    <t>User Guide section 8.1; Service Description section 7.1</t>
  </si>
  <si>
    <t>Verify that the MT584 generated matches PTCS data for all transactions (refused, confirmed, waiting confirmation, etc.).</t>
  </si>
  <si>
    <t>MT584 matches PTCS data for all relevant trades.</t>
  </si>
  <si>
    <t>Daily DSS Report</t>
  </si>
  <si>
    <t>DSS transactions processed and settled in PTCS; Broker has access to reporting features</t>
  </si>
  <si>
    <t>Verify that the Daily DSS Report (MT584) generated for the Broker accurately reflects all DSS transactions processed in PTCS, including statuses such as refused, confirmed, and waiting confirmation.</t>
  </si>
  <si>
    <t>MT584 report matches PTCS data for all DSS trades, including correct transaction details, amounts, and statuses.</t>
  </si>
  <si>
    <t>Liquidation Account Statement</t>
  </si>
  <si>
    <t>User Guide section 8.2; Service Description section 7.2</t>
  </si>
  <si>
    <t>Verify that the Liquidation Account Statement is generated and displayed for the Broker, and that its content is consistent with the corresponding MT553 message, including correct structure and receiver ID.</t>
  </si>
  <si>
    <t>Statement content matches MT553 structure; receiver ID matches Broker ID; all relevant DSS liquidation details are present and accurate.</t>
  </si>
  <si>
    <t>DSS Account Tab from My View screen</t>
  </si>
  <si>
    <t>DSS Trade Visibility - Liquidation Account Impact</t>
  </si>
  <si>
    <t>DSS eligible transactions exist and are visible in PTCS; Broker has access to DSS account tab</t>
  </si>
  <si>
    <t>User Guide section 5.2; Service Description section 4.3</t>
  </si>
  <si>
    <t>Verify that for each DSS eligible transaction, the liquidation account impact is displayed correctly for both buyer and seller, showing negative values for buyers and positive values for sellers, with accurate transaction details.</t>
  </si>
  <si>
    <t>Liquidation account impact is displayed: buyer sees negative value, seller sees positive value; transaction details are accurate and match PTCS data.</t>
  </si>
  <si>
    <t>DSS transactions processed and settled in PTCS; Custodian has access to reporting features</t>
  </si>
  <si>
    <t>Verify that the Daily DSS Report (MT584) generated for the Custodian accurately reflects all DSS transactions processed in PTCS, including statuses such as refused, confirmed, and waiting confirmation.</t>
  </si>
  <si>
    <t>Verify that the Liquidation Account Statement is generated and displayed for the Custodian, and that its content is consistent with the corresponding MT553 message, including correct structure and receiver ID.</t>
  </si>
  <si>
    <t>Statement content matches MT553 structure; receiver ID matches Custodian ID; all relevant DSS liquidation details are present and accurate.</t>
  </si>
  <si>
    <t>DSS eligible transactions exist and are visible in PTCS; Custodian has access to DSS account tab</t>
  </si>
  <si>
    <t>Calendar</t>
  </si>
  <si>
    <t>Trade date filter</t>
  </si>
  <si>
    <t>Broker user logged in; transactions exist for multiple dates</t>
  </si>
  <si>
    <t>Calendar component, transaction data</t>
  </si>
  <si>
    <t>User Guide, section 3.2</t>
  </si>
  <si>
    <t>Verify that selecting trade dates filters the displayed transactions accordingly</t>
  </si>
  <si>
    <t>Only transactions within the selected date range are shown to Broker user</t>
  </si>
  <si>
    <t>Custodian user logged in; transactions exist for multiple dates</t>
  </si>
  <si>
    <t>Only transactions within the selected date range are shown to Custodian user</t>
  </si>
  <si>
    <t>Dashboard</t>
  </si>
  <si>
    <t>My Custodians access</t>
  </si>
  <si>
    <t>Custodian user logged in; brokers linked to user</t>
  </si>
  <si>
    <t>User Guide, section 4.1</t>
  </si>
  <si>
    <t>Verify that a Custodian user can access the "My Brokers" screen with the counter widget and view linked Brokers details</t>
  </si>
  <si>
    <t>Custodian user sees the counter widget, all linked Brokers details and their transactions</t>
  </si>
  <si>
    <t>My Custodians filter</t>
  </si>
  <si>
    <t>User Guide, section 4.2</t>
  </si>
  <si>
    <t>Verify that a Custodian user can search for or select a Broker, and the application displays only the related transactions</t>
  </si>
  <si>
    <t>The transaction list updates to show only transactions linked to the selected Broker</t>
  </si>
  <si>
    <t>My Custodians transaction details</t>
  </si>
  <si>
    <t>User Guide, section 4.3</t>
  </si>
  <si>
    <t>Verify that a Custodian user can view the Broker's transactions details by clicking on the dedicated status</t>
  </si>
  <si>
    <t>Custodian user accesses the dedicated status on the "Trades" tab and views the related transactions details</t>
  </si>
  <si>
    <t>My Brokers access</t>
  </si>
  <si>
    <t>My Brokers filter</t>
  </si>
  <si>
    <t>My Brokers transaction details</t>
  </si>
  <si>
    <t>My View screen</t>
  </si>
  <si>
    <t>View Trade details</t>
  </si>
  <si>
    <t>Broker user logged in; trades exist</t>
  </si>
  <si>
    <t>User Guide, section 5.1</t>
  </si>
  <si>
    <t>Verify that a Broker user can access the "My View" screen with the counter widget and view transactions across all Custodians</t>
  </si>
  <si>
    <t>Broker user sees trade details for all transactions held with each linked Custodian</t>
  </si>
  <si>
    <t>Trades tab from My View screen</t>
  </si>
  <si>
    <t>Waiting Confirmation Tab</t>
  </si>
  <si>
    <t>Broker user logged in; trades with "Waiting Confirmation" status exist</t>
  </si>
  <si>
    <t>User Guide, section 5.2.1</t>
  </si>
  <si>
    <t>Verify that a Broker user can view and access details of transactions in the "Waiting Confirmation" tab</t>
  </si>
  <si>
    <t>Transactions with "Waiting Confirmation" status are displayed and details are accessible</t>
  </si>
  <si>
    <t>Refused Tab</t>
  </si>
  <si>
    <t>Broker user logged in; trades with "Refused" status exist</t>
  </si>
  <si>
    <t>User Guide, section 5.2.2</t>
  </si>
  <si>
    <t>Verify that a Broker user can view and access details of transactions in the "Refused" tab</t>
  </si>
  <si>
    <t>Transactions with "Refused" status are displayed and details are accessible</t>
  </si>
  <si>
    <t>Forced Refusal Tab</t>
  </si>
  <si>
    <t>Broker user logged in; trades with "Forced Refusal" status exist</t>
  </si>
  <si>
    <t>User Guide, section 5.2.3</t>
  </si>
  <si>
    <t>Verify that a Broker user can view and access details of transactions in the "Forced Refusal" tab</t>
  </si>
  <si>
    <t>Transactions with "Forced Refusal" status are displayed and details are accessible</t>
  </si>
  <si>
    <t>Confirmed Tab</t>
  </si>
  <si>
    <t>Broker user logged in; trades with "Confirmed" status exist</t>
  </si>
  <si>
    <t>User Guide, section 5.2.4</t>
  </si>
  <si>
    <t>Verify that a Broker user can view and access details of transactions in the "Confirmed" tab</t>
  </si>
  <si>
    <t>Transactions with "Confirmed" status are displayed and details are accessible</t>
  </si>
  <si>
    <t>Sent for settlement Tab</t>
  </si>
  <si>
    <t>Broker user logged in; trades with "Sent for settlement" status exist</t>
  </si>
  <si>
    <t>User Guide, section 5.2.5</t>
  </si>
  <si>
    <t>Verify that a Broker user can view and access details of transactions in the "Sent for settlement" tab</t>
  </si>
  <si>
    <t>Transactions with "Sent for settlement" status are displayed and details are accessible</t>
  </si>
  <si>
    <t>Trade filters</t>
  </si>
  <si>
    <t>User Guide, section 5.3</t>
  </si>
  <si>
    <t>Verify that a Broker user can use filters to refine trade results</t>
  </si>
  <si>
    <t>Broker user can apply filters (Transaction reference / Trade reference / Custodians / Order Date / Transaction type / AO Type (DSS/Cash) / ISIN / Quantity / Amount / Trade Date / Settlement Date / Reception Date / Status) to refine results</t>
  </si>
  <si>
    <t>Export trades</t>
  </si>
  <si>
    <t>User Guide, section 5.4</t>
  </si>
  <si>
    <t>Verify that a Broker user can export the list of trades to an Excel file, including filtered results</t>
  </si>
  <si>
    <t>By clicking on "Export" button, all listed trades, or only filtered data, are exported to an Excel file</t>
  </si>
  <si>
    <t>Custodian user logged in; trades exist</t>
  </si>
  <si>
    <t>Verify that a Custodian user can access the "My View" screen with the counter widget and view transactions across all Brokers</t>
  </si>
  <si>
    <t>Custodian user sees trade details for all transactions held with each linked Broker</t>
  </si>
  <si>
    <t>Custodian user logged in; trades with "Waiting Confirmation" status exist</t>
  </si>
  <si>
    <t>Verify that a Custodian user can view and access details of transactions in the "Waiting Confirmation" tab</t>
  </si>
  <si>
    <t>Custodian user logged in; trades with "Refused" status exist</t>
  </si>
  <si>
    <t>Verify that a Custodian user can view and access details of transactions in the "Refused" tab</t>
  </si>
  <si>
    <t>Custodian user logged in; trades with "Forced Refusal" status exist</t>
  </si>
  <si>
    <t>Verify that a Custodian user can view and access details of transactions in the "Forced Refusal" tab</t>
  </si>
  <si>
    <t>Custodian user logged in; trades with "Confirmed" status exist</t>
  </si>
  <si>
    <t>Verify that a Custodian user can view and access details of transactions in the "Confirmed" tab</t>
  </si>
  <si>
    <t>Custodian user logged in; trades with "Sent for settlement" status exist</t>
  </si>
  <si>
    <t>Verify that a Custodian user can view and access details of transactions in the "Sent for settlement" tab</t>
  </si>
  <si>
    <t>Verify that a Custodian user can use filters to refine trade results</t>
  </si>
  <si>
    <t>Custodian user can apply filters (Transaction reference / Trade reference / Brokers / Order Date / Transaction type / AO Type (DSS/Cash) / ISIN / Quantity / Amount / Trade Date / Settlement Date / Reception Date / Status) to refine results</t>
  </si>
  <si>
    <t>Verify that a Custodian user can export the list of trades to an Excel file, including filtered results</t>
  </si>
  <si>
    <t>Invalid Messages Tab from My View screen</t>
  </si>
  <si>
    <t>Technical Rejection Tab</t>
  </si>
  <si>
    <t>Broker user logged in; technical rejection messages exist</t>
  </si>
  <si>
    <t>User Guide, section 6.1</t>
  </si>
  <si>
    <t>Verify that a Broker user can view details of transactions in the "Technical Rejection" tab</t>
  </si>
  <si>
    <t>Transactions with "Technical Rejection" status are displayed and details are accessible</t>
  </si>
  <si>
    <t>Duplicate Messages Tab</t>
  </si>
  <si>
    <t>Broker user logged in; duplicate messages exist</t>
  </si>
  <si>
    <t>User Guide, section 6.2</t>
  </si>
  <si>
    <t>Verify that a Broker user can view details of transactions in the "Duplicate Messages" tab</t>
  </si>
  <si>
    <t>Transactions with "Duplicate Messages" status are displayed and details are accessible</t>
  </si>
  <si>
    <t>Functional Rejection Tab</t>
  </si>
  <si>
    <t>Broker user logged in; functional rejection messages exist</t>
  </si>
  <si>
    <t>User Guide, section 6.3</t>
  </si>
  <si>
    <t>Verify that a Broker user can view details of transactions in the "Functional Rejection" tab</t>
  </si>
  <si>
    <t>Transactions with "Functional Rejection" status are displayed and details are accessible</t>
  </si>
  <si>
    <t>Message filters</t>
  </si>
  <si>
    <t>Broker user logged in; invalid messages exist</t>
  </si>
  <si>
    <t>User Guide, section 6.4</t>
  </si>
  <si>
    <t>Verify that a Broker user can use filters to refine Invalid messages results</t>
  </si>
  <si>
    <t>Broker user can apply filters (Transaction reference / Message Type / Rejection Type / Reception Date) to refine results</t>
  </si>
  <si>
    <t>Download Transaction message</t>
  </si>
  <si>
    <t>User Guide, section 6.5</t>
  </si>
  <si>
    <t>Verify that a Broker user can download the message of a transaction reference as a text file</t>
  </si>
  <si>
    <t>By clicking on "Download" button, selected transaction notice is downloaded as a text file</t>
  </si>
  <si>
    <t>Custodian user logged in; technical rejection messages exist</t>
  </si>
  <si>
    <t>Verify that a Custodian user can view details of transactions in the "Technical Rejection" tab</t>
  </si>
  <si>
    <t>Custodian user logged in; duplicate messages exist</t>
  </si>
  <si>
    <t>Verify that a Custodian user can view details of transactions in the "Duplicate Messages" tab</t>
  </si>
  <si>
    <t>Custodian user logged in; functional rejection messages exist</t>
  </si>
  <si>
    <t>Verify that a Custodian user can view details of transactions in the "Functional Rejection" tab</t>
  </si>
  <si>
    <t>Custodian user logged in; invalid messages exist</t>
  </si>
  <si>
    <t>Verify that a Custodian user can use filters to refine Invalid messages results</t>
  </si>
  <si>
    <t>Custodian user can apply filters (Transaction reference / Message Type / Rejection Type / Reception Date) to refine results</t>
  </si>
  <si>
    <t>Verify that a Custodian user can download the message of a transaction reference as a text file</t>
  </si>
  <si>
    <t>Statements filters</t>
  </si>
  <si>
    <t>Broker user logged in; statements exist</t>
  </si>
  <si>
    <t>User Guide, section 7.1</t>
  </si>
  <si>
    <t>Verify that a Broker user can use filters to refine Reports results</t>
  </si>
  <si>
    <t>Broker user can apply filters (Report Type / Isin / Report Date / Status) to refine results</t>
  </si>
  <si>
    <t>Download Daily Statements Reports</t>
  </si>
  <si>
    <t>User Guide, section 7.2</t>
  </si>
  <si>
    <t>Verify that a Broker user can download the Daily Cash Reports, the Daily DSS Reports and the Liquidation Account Statement</t>
  </si>
  <si>
    <t>Daily reporting history (date and time) is available and the generated MT584 report can be downloaded</t>
  </si>
  <si>
    <t>Custodian user logged in; statements exist</t>
  </si>
  <si>
    <t>Verify that a Custodian user can use filters to refine Reports results</t>
  </si>
  <si>
    <t>Custodian user can apply filters (Report Type / Isin / Report Date / Status) to refine results</t>
  </si>
  <si>
    <t>Verify that a Custodian user can download the Daily Cash Reports, the Daily DSS Reports and the Liquidation Account Statement</t>
  </si>
  <si>
    <t>View DSS account balances</t>
  </si>
  <si>
    <t>Broker user logged in; DSS accounts exist</t>
  </si>
  <si>
    <t>User Guide, section 8.1</t>
  </si>
  <si>
    <t>Verify that a Broker user can view DSS liquidation account balances, linked Custodians and the counter widget</t>
  </si>
  <si>
    <t>Broker user sees DSS liquidation account balances for each linked Custodian and the counter widget</t>
  </si>
  <si>
    <t>DSS account filters</t>
  </si>
  <si>
    <t>User Guide, section 8.2</t>
  </si>
  <si>
    <t>Verify that a Broker user can use filters to refine DSS Account results</t>
  </si>
  <si>
    <t>Broker user can apply filters (Month / ISIN / Liquidation month / Settlement Status) to refine results</t>
  </si>
  <si>
    <t>Custodian user logged in; DSS accounts exist</t>
  </si>
  <si>
    <t>Verify that a Custodian user can view DSS liquidation account balances, linked Brokers and the counter widget</t>
  </si>
  <si>
    <t>Custodian user sees DSS liquidation account balances for each linked Broker and the counter widget</t>
  </si>
  <si>
    <t>Verify that a Custodian user can use filters to refine DSS Account results</t>
  </si>
  <si>
    <t>Custodian user can apply filters (Month / ISIN / Liquidation month / Settlement Status) to refine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</si>
</sst>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b/>
      <sz val="9"/>
      <color rgb="FFE6E9EA"/>
      <name val="Verdana"/>
      <family val="2"/>
    </font>
    <font>
      <sz val="9"/>
      <color rgb="FFE6E9EA"/>
      <name val="Verdana"/>
      <family val="2"/>
    </font>
    <font>
      <i/>
      <sz val="9"/>
      <color rgb="FFE6E9EA"/>
      <name val="Verdana"/>
      <family val="2"/>
    </font>
    <font>
      <sz val="9"/>
      <color rgb="FF000000"/>
      <name val="Verdana"/>
      <family val="2"/>
    </font>
    <font>
      <b/>
      <sz val="9"/>
      <color theme="1"/>
      <name val="Verdana"/>
      <family val="2"/>
    </font>
    <font>
      <sz val="9"/>
      <color rgb="FFFF0000"/>
      <name val="Verdana"/>
      <family val="2"/>
    </font>
    <font>
      <sz val="9"/>
      <color theme="1"/>
      <name val="Verdana"/>
      <family val="2"/>
    </font>
    <font>
      <sz val="9"/>
      <color theme="5"/>
      <name val="Verdana"/>
      <family val="2"/>
    </font>
  </fonts>
  <fills count="7">
    <fill>
      <patternFill patternType="none"/>
    </fill>
    <fill>
      <patternFill patternType="gray125"/>
    </fill>
    <fill>
      <patternFill patternType="solid">
        <fgColor rgb="FFC1C9CB"/>
        <bgColor indexed="64"/>
      </patternFill>
    </fill>
    <fill>
      <patternFill patternType="solid">
        <fgColor rgb="FF003934"/>
        <bgColor rgb="FF5B9BD5"/>
      </patternFill>
    </fill>
    <fill>
      <patternFill patternType="solid">
        <fgColor theme="7" tint="-0.249977111117893"/>
        <bgColor rgb="FF5B9BD5"/>
      </patternFill>
    </fill>
    <fill>
      <patternFill patternType="solid">
        <fgColor theme="7" tint="0.79998168889431442"/>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4" fillId="3" borderId="1" xfId="0" applyFont="1" applyFill="1" applyBorder="1" applyAlignment="1">
      <alignment horizontal="left" vertical="center" wrapText="1"/>
    </xf>
    <xf numFmtId="14" fontId="4" fillId="3" borderId="1" xfId="0" applyNumberFormat="1" applyFont="1" applyFill="1" applyBorder="1" applyAlignment="1">
      <alignment horizontal="left" vertical="center" wrapText="1"/>
    </xf>
    <xf numFmtId="0" fontId="4" fillId="0" borderId="0" xfId="0" applyFont="1" applyAlignment="1">
      <alignment horizontal="left"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14" fontId="5"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0" fontId="6" fillId="6" borderId="1" xfId="0" applyFont="1" applyFill="1" applyBorder="1" applyAlignment="1">
      <alignment horizontal="center" vertical="center" wrapText="1"/>
    </xf>
    <xf numFmtId="14" fontId="5" fillId="0" borderId="1" xfId="0" applyNumberFormat="1" applyFont="1" applyBorder="1" applyAlignment="1">
      <alignment horizontal="left" vertical="center" wrapText="1"/>
    </xf>
    <xf numFmtId="0" fontId="7" fillId="0" borderId="1" xfId="0" applyFont="1" applyBorder="1" applyAlignment="1">
      <alignment horizontal="center" vertical="center" wrapText="1"/>
    </xf>
    <xf numFmtId="0" fontId="8" fillId="0" borderId="0" xfId="0" applyFont="1" applyAlignment="1">
      <alignment horizontal="center" vertical="center"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0" fontId="5" fillId="0" borderId="1" xfId="0" quotePrefix="1" applyFont="1" applyBorder="1" applyAlignment="1">
      <alignment horizontal="left" vertical="center" wrapText="1"/>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0" fontId="7" fillId="0" borderId="0" xfId="0" applyFont="1" applyAlignment="1">
      <alignment horizontal="center" vertical="center" wrapText="1"/>
    </xf>
    <xf numFmtId="0" fontId="3" fillId="2" borderId="0" xfId="0" applyFont="1" applyFill="1" applyAlignment="1">
      <alignment horizontal="center" vertical="center" wrapText="1"/>
    </xf>
    <xf numFmtId="14" fontId="8" fillId="0" borderId="0" xfId="0" applyNumberFormat="1" applyFont="1" applyAlignment="1">
      <alignment horizontal="center" vertical="center" wrapText="1"/>
    </xf>
    <xf numFmtId="0" fontId="8" fillId="0" borderId="0" xfId="0" applyFont="1" applyAlignment="1">
      <alignment horizontal="left" vertical="center" wrapText="1"/>
    </xf>
    <xf numFmtId="0" fontId="2" fillId="2"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2" tint="-0.499984740745262"/>
      </font>
      <fill>
        <patternFill>
          <bgColor theme="2"/>
        </patternFill>
      </fill>
    </dxf>
    <dxf>
      <fill>
        <patternFill>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DAD9-5FED-4DAA-B7AD-DBAE447B30D6}">
  <sheetPr>
    <tabColor theme="8" tint="0.39997558519241921"/>
  </sheetPr>
  <dimension ref="A1:R108"/>
  <sheetViews>
    <sheetView tabSelected="1" zoomScale="90" zoomScaleNormal="90" workbookViewId="0">
      <pane ySplit="2" topLeftCell="A3" activePane="bottomLeft" state="frozen"/>
      <selection pane="bottomLeft" sqref="A1:A2"/>
    </sheetView>
  </sheetViews>
  <sheetFormatPr defaultColWidth="9.33203125" defaultRowHeight="30" customHeight="1" x14ac:dyDescent="0.3"/>
  <cols>
    <col min="1" max="1" width="22.5546875" style="22" bestFit="1" customWidth="1"/>
    <col min="2" max="2" width="14.33203125" style="15" customWidth="1"/>
    <col min="3" max="3" width="19" style="15" customWidth="1"/>
    <col min="4" max="4" width="14.33203125" style="15" customWidth="1"/>
    <col min="5" max="5" width="16.109375" style="23" customWidth="1"/>
    <col min="6" max="6" width="33.44140625" style="15" bestFit="1" customWidth="1"/>
    <col min="7" max="7" width="32.5546875" style="15" bestFit="1" customWidth="1"/>
    <col min="8" max="8" width="17.33203125" style="15" customWidth="1"/>
    <col min="9" max="9" width="22.33203125" style="15" customWidth="1"/>
    <col min="10" max="10" width="37.6640625" style="24" customWidth="1"/>
    <col min="11" max="11" width="22.5546875" style="24" customWidth="1"/>
    <col min="12" max="12" width="18.33203125" style="24" customWidth="1"/>
    <col min="13" max="14" width="52" style="24" customWidth="1"/>
    <col min="15" max="15" width="17.6640625" style="15" bestFit="1" customWidth="1"/>
    <col min="16" max="16" width="22.33203125" style="24" bestFit="1" customWidth="1"/>
    <col min="17" max="17" width="22.33203125" style="15" customWidth="1"/>
    <col min="18" max="18" width="13" style="15" bestFit="1" customWidth="1"/>
    <col min="19" max="19" width="11.6640625" style="15" bestFit="1" customWidth="1"/>
    <col min="20" max="16384" width="9.33203125" style="15"/>
  </cols>
  <sheetData>
    <row r="1" spans="1:18" s="3" customFormat="1" ht="30" customHeight="1" x14ac:dyDescent="0.3">
      <c r="A1" s="25" t="s">
        <v>0</v>
      </c>
      <c r="B1" s="1" t="s">
        <v>1</v>
      </c>
      <c r="C1" s="26"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row>
    <row r="2" spans="1:18" s="6" customFormat="1" ht="30" customHeight="1" x14ac:dyDescent="0.3">
      <c r="A2" s="25"/>
      <c r="B2" s="4" t="s">
        <v>18</v>
      </c>
      <c r="C2" s="27"/>
      <c r="D2" s="4" t="s">
        <v>19</v>
      </c>
      <c r="E2" s="5" t="s">
        <v>20</v>
      </c>
      <c r="F2" s="4" t="s">
        <v>21</v>
      </c>
      <c r="G2" s="4" t="s">
        <v>22</v>
      </c>
      <c r="H2" s="4" t="s">
        <v>23</v>
      </c>
      <c r="I2" s="4" t="s">
        <v>24</v>
      </c>
      <c r="J2" s="4" t="s">
        <v>25</v>
      </c>
      <c r="K2" s="4" t="s">
        <v>26</v>
      </c>
      <c r="L2" s="4" t="s">
        <v>27</v>
      </c>
      <c r="M2" s="4" t="s">
        <v>28</v>
      </c>
      <c r="N2" s="4" t="s">
        <v>29</v>
      </c>
      <c r="O2" s="4" t="s">
        <v>30</v>
      </c>
      <c r="P2" s="4" t="s">
        <v>31</v>
      </c>
      <c r="Q2" s="4" t="s">
        <v>32</v>
      </c>
      <c r="R2" s="4" t="s">
        <v>33</v>
      </c>
    </row>
    <row r="3" spans="1:18" ht="34.5" customHeight="1" x14ac:dyDescent="0.3">
      <c r="A3" s="7" t="str">
        <f>$B3&amp;"/"&amp;$C3</f>
        <v>High Priority/Approved by PO</v>
      </c>
      <c r="B3" s="8" t="s">
        <v>34</v>
      </c>
      <c r="C3" s="9" t="s">
        <v>35</v>
      </c>
      <c r="D3" s="8" t="str">
        <f t="shared" ref="D3:D66" si="0">"EXT_PTCS_"&amp;ROW()-2</f>
        <v>EXT_PTCS_1</v>
      </c>
      <c r="E3" s="10">
        <v>46234</v>
      </c>
      <c r="F3" s="8" t="s">
        <v>36</v>
      </c>
      <c r="G3" s="8" t="s">
        <v>37</v>
      </c>
      <c r="H3" s="8" t="s">
        <v>38</v>
      </c>
      <c r="I3" s="8" t="s">
        <v>39</v>
      </c>
      <c r="J3" s="11" t="s">
        <v>40</v>
      </c>
      <c r="K3" s="11" t="s">
        <v>41</v>
      </c>
      <c r="L3" s="11" t="s">
        <v>42</v>
      </c>
      <c r="M3" s="11" t="s">
        <v>43</v>
      </c>
      <c r="N3" s="11" t="s">
        <v>44</v>
      </c>
      <c r="O3" s="12" t="s">
        <v>45</v>
      </c>
      <c r="P3" s="11"/>
      <c r="Q3" s="13"/>
      <c r="R3" s="14"/>
    </row>
    <row r="4" spans="1:18" ht="34.5" customHeight="1" x14ac:dyDescent="0.3">
      <c r="A4" s="7" t="str">
        <f t="shared" ref="A4:A69" si="1">$B4&amp;"/"&amp;$C4</f>
        <v>High Priority/Approved by PO</v>
      </c>
      <c r="B4" s="8" t="s">
        <v>34</v>
      </c>
      <c r="C4" s="9" t="s">
        <v>35</v>
      </c>
      <c r="D4" s="8" t="str">
        <f t="shared" si="0"/>
        <v>EXT_PTCS_2</v>
      </c>
      <c r="E4" s="10">
        <v>46234</v>
      </c>
      <c r="F4" s="8" t="s">
        <v>36</v>
      </c>
      <c r="G4" s="8" t="s">
        <v>37</v>
      </c>
      <c r="H4" s="8" t="s">
        <v>38</v>
      </c>
      <c r="I4" s="8" t="s">
        <v>46</v>
      </c>
      <c r="J4" s="11" t="s">
        <v>40</v>
      </c>
      <c r="K4" s="11" t="s">
        <v>47</v>
      </c>
      <c r="L4" s="11" t="s">
        <v>42</v>
      </c>
      <c r="M4" s="11" t="s">
        <v>48</v>
      </c>
      <c r="N4" s="11" t="s">
        <v>49</v>
      </c>
      <c r="O4" s="12" t="s">
        <v>45</v>
      </c>
      <c r="P4" s="11"/>
      <c r="Q4" s="11"/>
      <c r="R4" s="14"/>
    </row>
    <row r="5" spans="1:18" ht="34.5" customHeight="1" x14ac:dyDescent="0.3">
      <c r="A5" s="7" t="str">
        <f t="shared" si="1"/>
        <v>High Priority/Approved by PO</v>
      </c>
      <c r="B5" s="8" t="s">
        <v>34</v>
      </c>
      <c r="C5" s="9" t="s">
        <v>35</v>
      </c>
      <c r="D5" s="8" t="str">
        <f t="shared" si="0"/>
        <v>EXT_PTCS_3</v>
      </c>
      <c r="E5" s="10">
        <v>46234</v>
      </c>
      <c r="F5" s="8" t="s">
        <v>50</v>
      </c>
      <c r="G5" s="8" t="s">
        <v>51</v>
      </c>
      <c r="H5" s="8" t="s">
        <v>38</v>
      </c>
      <c r="I5" s="8" t="s">
        <v>39</v>
      </c>
      <c r="J5" s="11" t="s">
        <v>40</v>
      </c>
      <c r="K5" s="11" t="s">
        <v>41</v>
      </c>
      <c r="L5" s="11" t="s">
        <v>52</v>
      </c>
      <c r="M5" s="11" t="s">
        <v>53</v>
      </c>
      <c r="N5" s="11" t="s">
        <v>54</v>
      </c>
      <c r="O5" s="12" t="s">
        <v>45</v>
      </c>
      <c r="P5" s="11"/>
      <c r="Q5" s="11"/>
      <c r="R5" s="14"/>
    </row>
    <row r="6" spans="1:18" ht="34.5" customHeight="1" x14ac:dyDescent="0.3">
      <c r="A6" s="7" t="str">
        <f t="shared" si="1"/>
        <v>High Priority/Approved by PO</v>
      </c>
      <c r="B6" s="8" t="s">
        <v>34</v>
      </c>
      <c r="C6" s="9" t="s">
        <v>35</v>
      </c>
      <c r="D6" s="8" t="str">
        <f t="shared" si="0"/>
        <v>EXT_PTCS_4</v>
      </c>
      <c r="E6" s="10">
        <v>46234</v>
      </c>
      <c r="F6" s="8" t="s">
        <v>50</v>
      </c>
      <c r="G6" s="8" t="s">
        <v>51</v>
      </c>
      <c r="H6" s="8" t="s">
        <v>38</v>
      </c>
      <c r="I6" s="8" t="s">
        <v>46</v>
      </c>
      <c r="J6" s="11" t="s">
        <v>40</v>
      </c>
      <c r="K6" s="11" t="s">
        <v>47</v>
      </c>
      <c r="L6" s="11" t="s">
        <v>52</v>
      </c>
      <c r="M6" s="11" t="s">
        <v>55</v>
      </c>
      <c r="N6" s="11" t="s">
        <v>56</v>
      </c>
      <c r="O6" s="12" t="s">
        <v>45</v>
      </c>
      <c r="P6" s="11"/>
      <c r="Q6" s="11"/>
      <c r="R6" s="14"/>
    </row>
    <row r="7" spans="1:18" ht="45.6" x14ac:dyDescent="0.3">
      <c r="A7" s="7" t="str">
        <f t="shared" si="1"/>
        <v>High Priority/Approved by PO</v>
      </c>
      <c r="B7" s="8" t="s">
        <v>34</v>
      </c>
      <c r="C7" s="9" t="s">
        <v>35</v>
      </c>
      <c r="D7" s="8" t="str">
        <f t="shared" si="0"/>
        <v>EXT_PTCS_5</v>
      </c>
      <c r="E7" s="10">
        <v>46234</v>
      </c>
      <c r="F7" s="8" t="s">
        <v>57</v>
      </c>
      <c r="G7" s="8" t="s">
        <v>58</v>
      </c>
      <c r="H7" s="8" t="s">
        <v>38</v>
      </c>
      <c r="I7" s="8" t="s">
        <v>39</v>
      </c>
      <c r="J7" s="11" t="s">
        <v>59</v>
      </c>
      <c r="K7" s="11" t="s">
        <v>60</v>
      </c>
      <c r="L7" s="11" t="s">
        <v>61</v>
      </c>
      <c r="M7" s="11" t="s">
        <v>62</v>
      </c>
      <c r="N7" s="11" t="s">
        <v>63</v>
      </c>
      <c r="O7" s="16" t="s">
        <v>45</v>
      </c>
      <c r="P7" s="11"/>
      <c r="Q7" s="10"/>
      <c r="R7" s="14"/>
    </row>
    <row r="8" spans="1:18" ht="45.6" x14ac:dyDescent="0.3">
      <c r="A8" s="7" t="str">
        <f t="shared" si="1"/>
        <v>High Priority/Approved by PO</v>
      </c>
      <c r="B8" s="8" t="s">
        <v>34</v>
      </c>
      <c r="C8" s="9" t="s">
        <v>35</v>
      </c>
      <c r="D8" s="8" t="str">
        <f t="shared" si="0"/>
        <v>EXT_PTCS_6</v>
      </c>
      <c r="E8" s="10">
        <v>46234</v>
      </c>
      <c r="F8" s="8" t="s">
        <v>57</v>
      </c>
      <c r="G8" s="8" t="s">
        <v>64</v>
      </c>
      <c r="H8" s="8" t="s">
        <v>38</v>
      </c>
      <c r="I8" s="8" t="s">
        <v>39</v>
      </c>
      <c r="J8" s="11" t="s">
        <v>59</v>
      </c>
      <c r="K8" s="11" t="s">
        <v>60</v>
      </c>
      <c r="L8" s="11" t="s">
        <v>61</v>
      </c>
      <c r="M8" s="11" t="s">
        <v>65</v>
      </c>
      <c r="N8" s="11" t="s">
        <v>66</v>
      </c>
      <c r="O8" s="16" t="s">
        <v>45</v>
      </c>
      <c r="P8" s="11"/>
      <c r="Q8" s="8"/>
      <c r="R8" s="14"/>
    </row>
    <row r="9" spans="1:18" ht="57" x14ac:dyDescent="0.3">
      <c r="A9" s="7" t="str">
        <f t="shared" si="1"/>
        <v>High Priority/Approved by PO</v>
      </c>
      <c r="B9" s="8" t="s">
        <v>34</v>
      </c>
      <c r="C9" s="9" t="s">
        <v>35</v>
      </c>
      <c r="D9" s="8" t="str">
        <f t="shared" si="0"/>
        <v>EXT_PTCS_7</v>
      </c>
      <c r="E9" s="10">
        <v>46234</v>
      </c>
      <c r="F9" s="8" t="s">
        <v>57</v>
      </c>
      <c r="G9" s="8" t="s">
        <v>67</v>
      </c>
      <c r="H9" s="8" t="s">
        <v>38</v>
      </c>
      <c r="I9" s="8" t="s">
        <v>39</v>
      </c>
      <c r="J9" s="11" t="s">
        <v>59</v>
      </c>
      <c r="K9" s="11" t="s">
        <v>60</v>
      </c>
      <c r="L9" s="11" t="s">
        <v>61</v>
      </c>
      <c r="M9" s="11" t="s">
        <v>68</v>
      </c>
      <c r="N9" s="11" t="s">
        <v>69</v>
      </c>
      <c r="O9" s="16" t="s">
        <v>45</v>
      </c>
      <c r="P9" s="11"/>
      <c r="Q9" s="8"/>
      <c r="R9" s="14"/>
    </row>
    <row r="10" spans="1:18" ht="68.400000000000006" x14ac:dyDescent="0.3">
      <c r="A10" s="7" t="str">
        <f t="shared" si="1"/>
        <v>High Priority/Approved by PO</v>
      </c>
      <c r="B10" s="8" t="s">
        <v>34</v>
      </c>
      <c r="C10" s="9" t="s">
        <v>35</v>
      </c>
      <c r="D10" s="8" t="str">
        <f t="shared" si="0"/>
        <v>EXT_PTCS_8</v>
      </c>
      <c r="E10" s="10">
        <v>46234</v>
      </c>
      <c r="F10" s="8" t="s">
        <v>57</v>
      </c>
      <c r="G10" s="8" t="s">
        <v>70</v>
      </c>
      <c r="H10" s="8" t="s">
        <v>38</v>
      </c>
      <c r="I10" s="8" t="s">
        <v>39</v>
      </c>
      <c r="J10" s="11" t="s">
        <v>59</v>
      </c>
      <c r="K10" s="11" t="s">
        <v>71</v>
      </c>
      <c r="L10" s="11" t="s">
        <v>61</v>
      </c>
      <c r="M10" s="11" t="s">
        <v>72</v>
      </c>
      <c r="N10" s="11" t="s">
        <v>73</v>
      </c>
      <c r="O10" s="16" t="s">
        <v>45</v>
      </c>
      <c r="P10" s="11"/>
      <c r="Q10" s="8"/>
      <c r="R10" s="14"/>
    </row>
    <row r="11" spans="1:18" ht="45.6" x14ac:dyDescent="0.3">
      <c r="A11" s="7" t="str">
        <f t="shared" si="1"/>
        <v>High Priority/Approved by PO</v>
      </c>
      <c r="B11" s="8" t="s">
        <v>34</v>
      </c>
      <c r="C11" s="9" t="s">
        <v>35</v>
      </c>
      <c r="D11" s="8" t="str">
        <f t="shared" si="0"/>
        <v>EXT_PTCS_9</v>
      </c>
      <c r="E11" s="10">
        <v>46234</v>
      </c>
      <c r="F11" s="8" t="s">
        <v>57</v>
      </c>
      <c r="G11" s="8" t="s">
        <v>58</v>
      </c>
      <c r="H11" s="8" t="s">
        <v>38</v>
      </c>
      <c r="I11" s="8" t="s">
        <v>46</v>
      </c>
      <c r="J11" s="11" t="s">
        <v>59</v>
      </c>
      <c r="K11" s="11" t="s">
        <v>74</v>
      </c>
      <c r="L11" s="11" t="s">
        <v>61</v>
      </c>
      <c r="M11" s="11" t="s">
        <v>62</v>
      </c>
      <c r="N11" s="11" t="s">
        <v>63</v>
      </c>
      <c r="O11" s="16" t="s">
        <v>45</v>
      </c>
      <c r="P11" s="11"/>
      <c r="Q11" s="8"/>
      <c r="R11" s="14"/>
    </row>
    <row r="12" spans="1:18" ht="45.6" x14ac:dyDescent="0.3">
      <c r="A12" s="7" t="str">
        <f t="shared" si="1"/>
        <v>High Priority/Approved by PO</v>
      </c>
      <c r="B12" s="8" t="s">
        <v>34</v>
      </c>
      <c r="C12" s="9" t="s">
        <v>35</v>
      </c>
      <c r="D12" s="8" t="str">
        <f t="shared" si="0"/>
        <v>EXT_PTCS_10</v>
      </c>
      <c r="E12" s="10">
        <v>46234</v>
      </c>
      <c r="F12" s="8" t="s">
        <v>57</v>
      </c>
      <c r="G12" s="8" t="s">
        <v>64</v>
      </c>
      <c r="H12" s="8" t="s">
        <v>38</v>
      </c>
      <c r="I12" s="8" t="s">
        <v>46</v>
      </c>
      <c r="J12" s="11" t="s">
        <v>59</v>
      </c>
      <c r="K12" s="11" t="s">
        <v>74</v>
      </c>
      <c r="L12" s="11" t="s">
        <v>61</v>
      </c>
      <c r="M12" s="11" t="s">
        <v>65</v>
      </c>
      <c r="N12" s="11" t="s">
        <v>66</v>
      </c>
      <c r="O12" s="16" t="s">
        <v>45</v>
      </c>
      <c r="P12" s="11"/>
      <c r="Q12" s="8"/>
      <c r="R12" s="14"/>
    </row>
    <row r="13" spans="1:18" ht="57" x14ac:dyDescent="0.3">
      <c r="A13" s="7" t="str">
        <f t="shared" si="1"/>
        <v>High Priority/Approved by PO</v>
      </c>
      <c r="B13" s="8" t="s">
        <v>34</v>
      </c>
      <c r="C13" s="9" t="s">
        <v>35</v>
      </c>
      <c r="D13" s="8" t="str">
        <f t="shared" si="0"/>
        <v>EXT_PTCS_11</v>
      </c>
      <c r="E13" s="10">
        <v>46234</v>
      </c>
      <c r="F13" s="8" t="s">
        <v>57</v>
      </c>
      <c r="G13" s="8" t="s">
        <v>67</v>
      </c>
      <c r="H13" s="8" t="s">
        <v>38</v>
      </c>
      <c r="I13" s="8" t="s">
        <v>46</v>
      </c>
      <c r="J13" s="11" t="s">
        <v>59</v>
      </c>
      <c r="K13" s="11" t="s">
        <v>74</v>
      </c>
      <c r="L13" s="11" t="s">
        <v>61</v>
      </c>
      <c r="M13" s="11" t="s">
        <v>68</v>
      </c>
      <c r="N13" s="11" t="s">
        <v>69</v>
      </c>
      <c r="O13" s="16" t="s">
        <v>45</v>
      </c>
      <c r="P13" s="11"/>
      <c r="Q13" s="8"/>
      <c r="R13" s="14"/>
    </row>
    <row r="14" spans="1:18" ht="56.25" customHeight="1" x14ac:dyDescent="0.3">
      <c r="A14" s="7" t="str">
        <f t="shared" si="1"/>
        <v>High Priority/Approved by PO</v>
      </c>
      <c r="B14" s="8" t="s">
        <v>34</v>
      </c>
      <c r="C14" s="9" t="s">
        <v>35</v>
      </c>
      <c r="D14" s="8" t="str">
        <f t="shared" si="0"/>
        <v>EXT_PTCS_12</v>
      </c>
      <c r="E14" s="10">
        <v>46234</v>
      </c>
      <c r="F14" s="8" t="s">
        <v>57</v>
      </c>
      <c r="G14" s="8" t="s">
        <v>70</v>
      </c>
      <c r="H14" s="8" t="s">
        <v>38</v>
      </c>
      <c r="I14" s="8" t="s">
        <v>46</v>
      </c>
      <c r="J14" s="11" t="s">
        <v>59</v>
      </c>
      <c r="K14" s="11" t="s">
        <v>71</v>
      </c>
      <c r="L14" s="11" t="s">
        <v>61</v>
      </c>
      <c r="M14" s="11" t="s">
        <v>72</v>
      </c>
      <c r="N14" s="11" t="s">
        <v>73</v>
      </c>
      <c r="O14" s="16" t="s">
        <v>45</v>
      </c>
      <c r="P14" s="11"/>
      <c r="Q14" s="8"/>
      <c r="R14" s="14"/>
    </row>
    <row r="15" spans="1:18" ht="45.6" x14ac:dyDescent="0.3">
      <c r="A15" s="7" t="str">
        <f t="shared" si="1"/>
        <v>High Priority/Approved by PO</v>
      </c>
      <c r="B15" s="8" t="s">
        <v>34</v>
      </c>
      <c r="C15" s="9" t="s">
        <v>35</v>
      </c>
      <c r="D15" s="8" t="str">
        <f t="shared" si="0"/>
        <v>EXT_PTCS_13</v>
      </c>
      <c r="E15" s="10">
        <v>46234</v>
      </c>
      <c r="F15" s="8" t="s">
        <v>75</v>
      </c>
      <c r="G15" s="8" t="s">
        <v>76</v>
      </c>
      <c r="H15" s="8" t="s">
        <v>38</v>
      </c>
      <c r="I15" s="8" t="s">
        <v>39</v>
      </c>
      <c r="J15" s="11" t="s">
        <v>77</v>
      </c>
      <c r="K15" s="11" t="s">
        <v>60</v>
      </c>
      <c r="L15" s="11" t="s">
        <v>78</v>
      </c>
      <c r="M15" s="11" t="s">
        <v>79</v>
      </c>
      <c r="N15" s="11" t="s">
        <v>80</v>
      </c>
      <c r="O15" s="16" t="s">
        <v>45</v>
      </c>
      <c r="P15" s="11"/>
      <c r="Q15" s="8"/>
      <c r="R15" s="14"/>
    </row>
    <row r="16" spans="1:18" ht="45.6" x14ac:dyDescent="0.3">
      <c r="A16" s="7" t="str">
        <f t="shared" si="1"/>
        <v>High Priority/Approved by PO</v>
      </c>
      <c r="B16" s="8" t="s">
        <v>34</v>
      </c>
      <c r="C16" s="9" t="s">
        <v>35</v>
      </c>
      <c r="D16" s="8" t="str">
        <f t="shared" si="0"/>
        <v>EXT_PTCS_14</v>
      </c>
      <c r="E16" s="10">
        <v>46234</v>
      </c>
      <c r="F16" s="8" t="s">
        <v>75</v>
      </c>
      <c r="G16" s="8" t="s">
        <v>81</v>
      </c>
      <c r="H16" s="8" t="s">
        <v>38</v>
      </c>
      <c r="I16" s="8" t="s">
        <v>39</v>
      </c>
      <c r="J16" s="11" t="s">
        <v>77</v>
      </c>
      <c r="K16" s="11" t="s">
        <v>60</v>
      </c>
      <c r="L16" s="11" t="s">
        <v>78</v>
      </c>
      <c r="M16" s="11" t="s">
        <v>82</v>
      </c>
      <c r="N16" s="11" t="s">
        <v>66</v>
      </c>
      <c r="O16" s="16" t="s">
        <v>45</v>
      </c>
      <c r="P16" s="11"/>
      <c r="Q16" s="8"/>
      <c r="R16" s="14"/>
    </row>
    <row r="17" spans="1:18" ht="57" x14ac:dyDescent="0.3">
      <c r="A17" s="7" t="str">
        <f t="shared" si="1"/>
        <v>High Priority/Approved by PO</v>
      </c>
      <c r="B17" s="8" t="s">
        <v>34</v>
      </c>
      <c r="C17" s="9" t="s">
        <v>35</v>
      </c>
      <c r="D17" s="8" t="str">
        <f t="shared" si="0"/>
        <v>EXT_PTCS_15</v>
      </c>
      <c r="E17" s="10">
        <v>46234</v>
      </c>
      <c r="F17" s="8" t="s">
        <v>75</v>
      </c>
      <c r="G17" s="8" t="s">
        <v>83</v>
      </c>
      <c r="H17" s="8" t="s">
        <v>38</v>
      </c>
      <c r="I17" s="8" t="s">
        <v>39</v>
      </c>
      <c r="J17" s="11" t="s">
        <v>77</v>
      </c>
      <c r="K17" s="11" t="s">
        <v>60</v>
      </c>
      <c r="L17" s="11" t="s">
        <v>78</v>
      </c>
      <c r="M17" s="11" t="s">
        <v>84</v>
      </c>
      <c r="N17" s="11" t="s">
        <v>85</v>
      </c>
      <c r="O17" s="16" t="s">
        <v>45</v>
      </c>
      <c r="P17" s="11"/>
      <c r="Q17" s="8"/>
      <c r="R17" s="14"/>
    </row>
    <row r="18" spans="1:18" ht="68.400000000000006" x14ac:dyDescent="0.3">
      <c r="A18" s="7" t="str">
        <f t="shared" si="1"/>
        <v>High Priority/Approved by PO</v>
      </c>
      <c r="B18" s="8" t="s">
        <v>34</v>
      </c>
      <c r="C18" s="9" t="s">
        <v>35</v>
      </c>
      <c r="D18" s="8" t="str">
        <f t="shared" si="0"/>
        <v>EXT_PTCS_16</v>
      </c>
      <c r="E18" s="10">
        <v>46234</v>
      </c>
      <c r="F18" s="8" t="s">
        <v>75</v>
      </c>
      <c r="G18" s="8" t="s">
        <v>86</v>
      </c>
      <c r="H18" s="8" t="s">
        <v>38</v>
      </c>
      <c r="I18" s="8" t="s">
        <v>39</v>
      </c>
      <c r="J18" s="11" t="s">
        <v>77</v>
      </c>
      <c r="K18" s="11" t="s">
        <v>71</v>
      </c>
      <c r="L18" s="11" t="s">
        <v>78</v>
      </c>
      <c r="M18" s="11" t="s">
        <v>87</v>
      </c>
      <c r="N18" s="11" t="s">
        <v>88</v>
      </c>
      <c r="O18" s="16" t="s">
        <v>45</v>
      </c>
      <c r="P18" s="11"/>
      <c r="Q18" s="8"/>
      <c r="R18" s="14"/>
    </row>
    <row r="19" spans="1:18" ht="63.75" customHeight="1" x14ac:dyDescent="0.3">
      <c r="A19" s="7" t="str">
        <f t="shared" si="1"/>
        <v>High Priority/Approved by PO</v>
      </c>
      <c r="B19" s="8" t="s">
        <v>34</v>
      </c>
      <c r="C19" s="9" t="s">
        <v>35</v>
      </c>
      <c r="D19" s="8" t="str">
        <f t="shared" si="0"/>
        <v>EXT_PTCS_17</v>
      </c>
      <c r="E19" s="10">
        <v>46234</v>
      </c>
      <c r="F19" s="8" t="s">
        <v>89</v>
      </c>
      <c r="G19" s="8" t="s">
        <v>90</v>
      </c>
      <c r="H19" s="8" t="s">
        <v>38</v>
      </c>
      <c r="I19" s="8" t="s">
        <v>39</v>
      </c>
      <c r="J19" s="11" t="s">
        <v>91</v>
      </c>
      <c r="K19" s="11" t="s">
        <v>71</v>
      </c>
      <c r="L19" s="11" t="s">
        <v>78</v>
      </c>
      <c r="M19" s="11" t="s">
        <v>92</v>
      </c>
      <c r="N19" s="11" t="s">
        <v>93</v>
      </c>
      <c r="O19" s="16" t="s">
        <v>45</v>
      </c>
      <c r="P19" s="11"/>
      <c r="Q19" s="8"/>
      <c r="R19" s="14"/>
    </row>
    <row r="20" spans="1:18" ht="63.75" customHeight="1" x14ac:dyDescent="0.3">
      <c r="A20" s="7" t="str">
        <f t="shared" si="1"/>
        <v>High Priority/Approved by PO</v>
      </c>
      <c r="B20" s="8" t="s">
        <v>34</v>
      </c>
      <c r="C20" s="9" t="s">
        <v>35</v>
      </c>
      <c r="D20" s="8" t="str">
        <f t="shared" si="0"/>
        <v>EXT_PTCS_18</v>
      </c>
      <c r="E20" s="10">
        <v>46234</v>
      </c>
      <c r="F20" s="8" t="s">
        <v>89</v>
      </c>
      <c r="G20" s="8" t="s">
        <v>94</v>
      </c>
      <c r="H20" s="8" t="s">
        <v>38</v>
      </c>
      <c r="I20" s="8" t="s">
        <v>39</v>
      </c>
      <c r="J20" s="11" t="s">
        <v>91</v>
      </c>
      <c r="K20" s="11" t="s">
        <v>71</v>
      </c>
      <c r="L20" s="11" t="s">
        <v>78</v>
      </c>
      <c r="M20" s="11" t="s">
        <v>95</v>
      </c>
      <c r="N20" s="11" t="s">
        <v>93</v>
      </c>
      <c r="O20" s="16" t="s">
        <v>45</v>
      </c>
      <c r="P20" s="11"/>
      <c r="Q20" s="8"/>
      <c r="R20" s="14"/>
    </row>
    <row r="21" spans="1:18" ht="63.75" customHeight="1" x14ac:dyDescent="0.3">
      <c r="A21" s="7" t="str">
        <f t="shared" si="1"/>
        <v>Low Priority/Approved by PO</v>
      </c>
      <c r="B21" s="8" t="s">
        <v>96</v>
      </c>
      <c r="C21" s="9" t="s">
        <v>35</v>
      </c>
      <c r="D21" s="8" t="str">
        <f t="shared" si="0"/>
        <v>EXT_PTCS_19</v>
      </c>
      <c r="E21" s="10">
        <v>46234</v>
      </c>
      <c r="F21" s="8" t="s">
        <v>89</v>
      </c>
      <c r="G21" s="8" t="s">
        <v>97</v>
      </c>
      <c r="H21" s="8" t="s">
        <v>38</v>
      </c>
      <c r="I21" s="8" t="s">
        <v>39</v>
      </c>
      <c r="J21" s="11" t="s">
        <v>98</v>
      </c>
      <c r="K21" s="11" t="s">
        <v>71</v>
      </c>
      <c r="L21" s="11" t="s">
        <v>78</v>
      </c>
      <c r="M21" s="11" t="s">
        <v>99</v>
      </c>
      <c r="N21" s="11" t="s">
        <v>100</v>
      </c>
      <c r="O21" s="16" t="s">
        <v>45</v>
      </c>
      <c r="P21" s="11"/>
      <c r="Q21" s="8"/>
      <c r="R21" s="14"/>
    </row>
    <row r="22" spans="1:18" ht="45.6" x14ac:dyDescent="0.3">
      <c r="A22" s="7" t="str">
        <f t="shared" si="1"/>
        <v>High Priority/Approved by PO</v>
      </c>
      <c r="B22" s="8" t="s">
        <v>34</v>
      </c>
      <c r="C22" s="9" t="s">
        <v>35</v>
      </c>
      <c r="D22" s="8" t="str">
        <f t="shared" si="0"/>
        <v>EXT_PTCS_20</v>
      </c>
      <c r="E22" s="10">
        <v>46234</v>
      </c>
      <c r="F22" s="8" t="s">
        <v>75</v>
      </c>
      <c r="G22" s="8" t="s">
        <v>76</v>
      </c>
      <c r="H22" s="8" t="s">
        <v>38</v>
      </c>
      <c r="I22" s="8" t="s">
        <v>46</v>
      </c>
      <c r="J22" s="11" t="s">
        <v>77</v>
      </c>
      <c r="K22" s="11" t="s">
        <v>74</v>
      </c>
      <c r="L22" s="11" t="s">
        <v>78</v>
      </c>
      <c r="M22" s="11" t="s">
        <v>79</v>
      </c>
      <c r="N22" s="11" t="s">
        <v>80</v>
      </c>
      <c r="O22" s="16" t="s">
        <v>45</v>
      </c>
      <c r="P22" s="11"/>
      <c r="Q22" s="8"/>
      <c r="R22" s="14"/>
    </row>
    <row r="23" spans="1:18" ht="45.6" x14ac:dyDescent="0.3">
      <c r="A23" s="7" t="str">
        <f t="shared" si="1"/>
        <v>High Priority/Approved by PO</v>
      </c>
      <c r="B23" s="8" t="s">
        <v>34</v>
      </c>
      <c r="C23" s="9" t="s">
        <v>35</v>
      </c>
      <c r="D23" s="8" t="str">
        <f t="shared" si="0"/>
        <v>EXT_PTCS_21</v>
      </c>
      <c r="E23" s="10">
        <v>46234</v>
      </c>
      <c r="F23" s="8" t="s">
        <v>75</v>
      </c>
      <c r="G23" s="8" t="s">
        <v>81</v>
      </c>
      <c r="H23" s="8" t="s">
        <v>38</v>
      </c>
      <c r="I23" s="8" t="s">
        <v>46</v>
      </c>
      <c r="J23" s="11" t="s">
        <v>77</v>
      </c>
      <c r="K23" s="11" t="s">
        <v>74</v>
      </c>
      <c r="L23" s="11" t="s">
        <v>78</v>
      </c>
      <c r="M23" s="11" t="s">
        <v>82</v>
      </c>
      <c r="N23" s="11" t="s">
        <v>66</v>
      </c>
      <c r="O23" s="16" t="s">
        <v>45</v>
      </c>
      <c r="P23" s="11"/>
      <c r="Q23" s="8"/>
      <c r="R23" s="14"/>
    </row>
    <row r="24" spans="1:18" ht="57" x14ac:dyDescent="0.3">
      <c r="A24" s="7" t="str">
        <f t="shared" si="1"/>
        <v>High Priority/Approved by PO</v>
      </c>
      <c r="B24" s="8" t="s">
        <v>34</v>
      </c>
      <c r="C24" s="9" t="s">
        <v>35</v>
      </c>
      <c r="D24" s="8" t="str">
        <f t="shared" si="0"/>
        <v>EXT_PTCS_22</v>
      </c>
      <c r="E24" s="10">
        <v>46234</v>
      </c>
      <c r="F24" s="8" t="s">
        <v>75</v>
      </c>
      <c r="G24" s="8" t="s">
        <v>83</v>
      </c>
      <c r="H24" s="8" t="s">
        <v>38</v>
      </c>
      <c r="I24" s="8" t="s">
        <v>46</v>
      </c>
      <c r="J24" s="11" t="s">
        <v>77</v>
      </c>
      <c r="K24" s="11" t="s">
        <v>74</v>
      </c>
      <c r="L24" s="11" t="s">
        <v>78</v>
      </c>
      <c r="M24" s="11" t="s">
        <v>84</v>
      </c>
      <c r="N24" s="11" t="s">
        <v>85</v>
      </c>
      <c r="O24" s="16" t="s">
        <v>45</v>
      </c>
      <c r="P24" s="11"/>
      <c r="Q24" s="8"/>
      <c r="R24" s="14"/>
    </row>
    <row r="25" spans="1:18" ht="68.400000000000006" x14ac:dyDescent="0.3">
      <c r="A25" s="7" t="str">
        <f t="shared" si="1"/>
        <v>High Priority/Approved by PO</v>
      </c>
      <c r="B25" s="8" t="s">
        <v>34</v>
      </c>
      <c r="C25" s="9" t="s">
        <v>35</v>
      </c>
      <c r="D25" s="8" t="str">
        <f t="shared" si="0"/>
        <v>EXT_PTCS_23</v>
      </c>
      <c r="E25" s="10">
        <v>46234</v>
      </c>
      <c r="F25" s="8" t="s">
        <v>75</v>
      </c>
      <c r="G25" s="8" t="s">
        <v>86</v>
      </c>
      <c r="H25" s="8" t="s">
        <v>38</v>
      </c>
      <c r="I25" s="8" t="s">
        <v>46</v>
      </c>
      <c r="J25" s="11" t="s">
        <v>77</v>
      </c>
      <c r="K25" s="11" t="s">
        <v>71</v>
      </c>
      <c r="L25" s="11" t="s">
        <v>78</v>
      </c>
      <c r="M25" s="11" t="s">
        <v>87</v>
      </c>
      <c r="N25" s="11" t="s">
        <v>88</v>
      </c>
      <c r="O25" s="16" t="s">
        <v>45</v>
      </c>
      <c r="P25" s="11"/>
      <c r="Q25" s="8"/>
      <c r="R25" s="14"/>
    </row>
    <row r="26" spans="1:18" ht="64.5" customHeight="1" x14ac:dyDescent="0.3">
      <c r="A26" s="7" t="str">
        <f t="shared" si="1"/>
        <v>High Priority/Approved by PO</v>
      </c>
      <c r="B26" s="8" t="s">
        <v>34</v>
      </c>
      <c r="C26" s="9" t="s">
        <v>35</v>
      </c>
      <c r="D26" s="8" t="str">
        <f t="shared" si="0"/>
        <v>EXT_PTCS_24</v>
      </c>
      <c r="E26" s="10">
        <v>46234</v>
      </c>
      <c r="F26" s="8" t="s">
        <v>89</v>
      </c>
      <c r="G26" s="8" t="s">
        <v>90</v>
      </c>
      <c r="H26" s="8" t="s">
        <v>38</v>
      </c>
      <c r="I26" s="8" t="s">
        <v>46</v>
      </c>
      <c r="J26" s="11" t="s">
        <v>91</v>
      </c>
      <c r="K26" s="11" t="s">
        <v>71</v>
      </c>
      <c r="L26" s="11" t="s">
        <v>78</v>
      </c>
      <c r="M26" s="11" t="s">
        <v>92</v>
      </c>
      <c r="N26" s="11" t="s">
        <v>93</v>
      </c>
      <c r="O26" s="16" t="s">
        <v>45</v>
      </c>
      <c r="P26" s="11"/>
      <c r="Q26" s="8"/>
      <c r="R26" s="14"/>
    </row>
    <row r="27" spans="1:18" ht="64.5" customHeight="1" x14ac:dyDescent="0.3">
      <c r="A27" s="7" t="str">
        <f t="shared" si="1"/>
        <v>High Priority/Approved by PO</v>
      </c>
      <c r="B27" s="8" t="s">
        <v>34</v>
      </c>
      <c r="C27" s="9" t="s">
        <v>35</v>
      </c>
      <c r="D27" s="8" t="str">
        <f t="shared" si="0"/>
        <v>EXT_PTCS_25</v>
      </c>
      <c r="E27" s="10">
        <v>46234</v>
      </c>
      <c r="F27" s="8" t="s">
        <v>89</v>
      </c>
      <c r="G27" s="8" t="s">
        <v>94</v>
      </c>
      <c r="H27" s="8" t="s">
        <v>38</v>
      </c>
      <c r="I27" s="8" t="s">
        <v>46</v>
      </c>
      <c r="J27" s="11" t="s">
        <v>91</v>
      </c>
      <c r="K27" s="11" t="s">
        <v>71</v>
      </c>
      <c r="L27" s="11" t="s">
        <v>78</v>
      </c>
      <c r="M27" s="11" t="s">
        <v>95</v>
      </c>
      <c r="N27" s="11" t="s">
        <v>93</v>
      </c>
      <c r="O27" s="16" t="s">
        <v>45</v>
      </c>
      <c r="P27" s="11"/>
      <c r="Q27" s="8"/>
      <c r="R27" s="14"/>
    </row>
    <row r="28" spans="1:18" ht="63" customHeight="1" x14ac:dyDescent="0.3">
      <c r="A28" s="7" t="str">
        <f t="shared" si="1"/>
        <v>Not to be tested/Approved by PO</v>
      </c>
      <c r="B28" s="8" t="s">
        <v>101</v>
      </c>
      <c r="C28" s="9" t="s">
        <v>35</v>
      </c>
      <c r="D28" s="8" t="str">
        <f t="shared" si="0"/>
        <v>EXT_PTCS_26</v>
      </c>
      <c r="E28" s="10">
        <v>46234</v>
      </c>
      <c r="F28" s="8" t="s">
        <v>89</v>
      </c>
      <c r="G28" s="8" t="s">
        <v>97</v>
      </c>
      <c r="H28" s="8" t="s">
        <v>38</v>
      </c>
      <c r="I28" s="8" t="s">
        <v>46</v>
      </c>
      <c r="J28" s="11" t="s">
        <v>98</v>
      </c>
      <c r="K28" s="11" t="s">
        <v>71</v>
      </c>
      <c r="L28" s="11" t="s">
        <v>78</v>
      </c>
      <c r="M28" s="11" t="s">
        <v>102</v>
      </c>
      <c r="N28" s="11" t="s">
        <v>100</v>
      </c>
      <c r="O28" s="16" t="s">
        <v>45</v>
      </c>
      <c r="P28" s="11"/>
      <c r="Q28" s="8"/>
      <c r="R28" s="14"/>
    </row>
    <row r="29" spans="1:18" ht="68.400000000000006" x14ac:dyDescent="0.3">
      <c r="A29" s="7" t="str">
        <f t="shared" si="1"/>
        <v>Medium Priority/Approved by PO</v>
      </c>
      <c r="B29" s="8" t="s">
        <v>103</v>
      </c>
      <c r="C29" s="9" t="s">
        <v>35</v>
      </c>
      <c r="D29" s="8" t="str">
        <f t="shared" si="0"/>
        <v>EXT_PTCS_27</v>
      </c>
      <c r="E29" s="10">
        <v>46234</v>
      </c>
      <c r="F29" s="8" t="s">
        <v>104</v>
      </c>
      <c r="G29" s="8" t="s">
        <v>105</v>
      </c>
      <c r="H29" s="8" t="s">
        <v>38</v>
      </c>
      <c r="I29" s="8" t="s">
        <v>39</v>
      </c>
      <c r="J29" s="11" t="s">
        <v>106</v>
      </c>
      <c r="K29" s="11" t="s">
        <v>107</v>
      </c>
      <c r="L29" s="11" t="s">
        <v>108</v>
      </c>
      <c r="M29" s="11" t="s">
        <v>109</v>
      </c>
      <c r="N29" s="11" t="s">
        <v>110</v>
      </c>
      <c r="O29" s="16" t="s">
        <v>45</v>
      </c>
      <c r="P29" s="11"/>
      <c r="Q29" s="8"/>
      <c r="R29" s="14"/>
    </row>
    <row r="30" spans="1:18" ht="68.400000000000006" x14ac:dyDescent="0.3">
      <c r="A30" s="7" t="str">
        <f t="shared" si="1"/>
        <v>Medium Priority/Approved by PO</v>
      </c>
      <c r="B30" s="8" t="s">
        <v>103</v>
      </c>
      <c r="C30" s="9" t="s">
        <v>35</v>
      </c>
      <c r="D30" s="8" t="str">
        <f t="shared" si="0"/>
        <v>EXT_PTCS_28</v>
      </c>
      <c r="E30" s="10">
        <v>46234</v>
      </c>
      <c r="F30" s="8" t="s">
        <v>104</v>
      </c>
      <c r="G30" s="8" t="s">
        <v>111</v>
      </c>
      <c r="H30" s="8" t="s">
        <v>38</v>
      </c>
      <c r="I30" s="8" t="s">
        <v>39</v>
      </c>
      <c r="J30" s="11" t="s">
        <v>106</v>
      </c>
      <c r="K30" s="11" t="s">
        <v>107</v>
      </c>
      <c r="L30" s="11" t="s">
        <v>108</v>
      </c>
      <c r="M30" s="11" t="s">
        <v>112</v>
      </c>
      <c r="N30" s="11" t="s">
        <v>110</v>
      </c>
      <c r="O30" s="16" t="s">
        <v>45</v>
      </c>
      <c r="P30" s="11"/>
      <c r="Q30" s="8"/>
      <c r="R30" s="14"/>
    </row>
    <row r="31" spans="1:18" ht="63" customHeight="1" x14ac:dyDescent="0.3">
      <c r="A31" s="7" t="str">
        <f t="shared" si="1"/>
        <v>Low Priority/Approved by PO</v>
      </c>
      <c r="B31" s="8" t="s">
        <v>96</v>
      </c>
      <c r="C31" s="9" t="s">
        <v>35</v>
      </c>
      <c r="D31" s="8" t="str">
        <f t="shared" si="0"/>
        <v>EXT_PTCS_29</v>
      </c>
      <c r="E31" s="10">
        <v>46234</v>
      </c>
      <c r="F31" s="8" t="s">
        <v>104</v>
      </c>
      <c r="G31" s="8" t="s">
        <v>113</v>
      </c>
      <c r="H31" s="8" t="s">
        <v>38</v>
      </c>
      <c r="I31" s="8" t="s">
        <v>39</v>
      </c>
      <c r="J31" s="11" t="s">
        <v>114</v>
      </c>
      <c r="K31" s="11" t="s">
        <v>115</v>
      </c>
      <c r="L31" s="11" t="s">
        <v>108</v>
      </c>
      <c r="M31" s="11" t="s">
        <v>116</v>
      </c>
      <c r="N31" s="11" t="s">
        <v>117</v>
      </c>
      <c r="O31" s="16" t="s">
        <v>45</v>
      </c>
      <c r="P31" s="11"/>
      <c r="Q31" s="8"/>
      <c r="R31" s="14"/>
    </row>
    <row r="32" spans="1:18" ht="63" customHeight="1" x14ac:dyDescent="0.3">
      <c r="A32" s="7" t="str">
        <f t="shared" si="1"/>
        <v>Low Priority/Approved by PO</v>
      </c>
      <c r="B32" s="8" t="s">
        <v>96</v>
      </c>
      <c r="C32" s="9" t="s">
        <v>35</v>
      </c>
      <c r="D32" s="8" t="str">
        <f t="shared" si="0"/>
        <v>EXT_PTCS_30</v>
      </c>
      <c r="E32" s="10">
        <v>46234</v>
      </c>
      <c r="F32" s="8" t="s">
        <v>104</v>
      </c>
      <c r="G32" s="8" t="s">
        <v>118</v>
      </c>
      <c r="H32" s="8" t="s">
        <v>38</v>
      </c>
      <c r="I32" s="8" t="s">
        <v>39</v>
      </c>
      <c r="J32" s="11" t="s">
        <v>114</v>
      </c>
      <c r="K32" s="11" t="s">
        <v>115</v>
      </c>
      <c r="L32" s="11" t="s">
        <v>108</v>
      </c>
      <c r="M32" s="11" t="s">
        <v>119</v>
      </c>
      <c r="N32" s="11" t="s">
        <v>117</v>
      </c>
      <c r="O32" s="16" t="s">
        <v>45</v>
      </c>
      <c r="P32" s="11"/>
      <c r="Q32" s="8"/>
      <c r="R32" s="14"/>
    </row>
    <row r="33" spans="1:18" ht="63" customHeight="1" x14ac:dyDescent="0.3">
      <c r="A33" s="7" t="str">
        <f t="shared" si="1"/>
        <v>Low Priority/Approved by PO</v>
      </c>
      <c r="B33" s="8" t="s">
        <v>96</v>
      </c>
      <c r="C33" s="9" t="s">
        <v>35</v>
      </c>
      <c r="D33" s="8" t="str">
        <f t="shared" si="0"/>
        <v>EXT_PTCS_31</v>
      </c>
      <c r="E33" s="10">
        <v>46234</v>
      </c>
      <c r="F33" s="8" t="s">
        <v>104</v>
      </c>
      <c r="G33" s="8" t="s">
        <v>120</v>
      </c>
      <c r="H33" s="8" t="s">
        <v>38</v>
      </c>
      <c r="I33" s="8" t="s">
        <v>39</v>
      </c>
      <c r="J33" s="11" t="s">
        <v>114</v>
      </c>
      <c r="K33" s="11" t="s">
        <v>115</v>
      </c>
      <c r="L33" s="11" t="s">
        <v>108</v>
      </c>
      <c r="M33" s="11" t="s">
        <v>121</v>
      </c>
      <c r="N33" s="11" t="s">
        <v>117</v>
      </c>
      <c r="O33" s="16" t="s">
        <v>45</v>
      </c>
      <c r="P33" s="11"/>
      <c r="Q33" s="8"/>
      <c r="R33" s="14"/>
    </row>
    <row r="34" spans="1:18" ht="63" customHeight="1" x14ac:dyDescent="0.3">
      <c r="A34" s="7" t="str">
        <f t="shared" si="1"/>
        <v>High Priority/Approved by PO</v>
      </c>
      <c r="B34" s="8" t="s">
        <v>34</v>
      </c>
      <c r="C34" s="9" t="s">
        <v>35</v>
      </c>
      <c r="D34" s="8" t="str">
        <f t="shared" si="0"/>
        <v>EXT_PTCS_32</v>
      </c>
      <c r="E34" s="10">
        <v>46234</v>
      </c>
      <c r="F34" s="8" t="s">
        <v>104</v>
      </c>
      <c r="G34" s="8" t="s">
        <v>122</v>
      </c>
      <c r="H34" s="8" t="s">
        <v>38</v>
      </c>
      <c r="I34" s="8" t="s">
        <v>39</v>
      </c>
      <c r="J34" s="11" t="s">
        <v>123</v>
      </c>
      <c r="K34" s="11" t="s">
        <v>71</v>
      </c>
      <c r="L34" s="11" t="s">
        <v>124</v>
      </c>
      <c r="M34" s="11" t="s">
        <v>125</v>
      </c>
      <c r="N34" s="11" t="s">
        <v>126</v>
      </c>
      <c r="O34" s="16" t="s">
        <v>45</v>
      </c>
      <c r="P34" s="11"/>
      <c r="Q34" s="8"/>
      <c r="R34" s="14"/>
    </row>
    <row r="35" spans="1:18" ht="63" customHeight="1" x14ac:dyDescent="0.3">
      <c r="A35" s="7" t="str">
        <f t="shared" si="1"/>
        <v>High Priority/Approved by PO</v>
      </c>
      <c r="B35" s="8" t="s">
        <v>34</v>
      </c>
      <c r="C35" s="9" t="s">
        <v>35</v>
      </c>
      <c r="D35" s="8" t="str">
        <f t="shared" si="0"/>
        <v>EXT_PTCS_33</v>
      </c>
      <c r="E35" s="10">
        <v>46234</v>
      </c>
      <c r="F35" s="8" t="s">
        <v>104</v>
      </c>
      <c r="G35" s="8" t="s">
        <v>127</v>
      </c>
      <c r="H35" s="8" t="s">
        <v>38</v>
      </c>
      <c r="I35" s="8" t="s">
        <v>39</v>
      </c>
      <c r="J35" s="11" t="s">
        <v>123</v>
      </c>
      <c r="K35" s="11" t="s">
        <v>71</v>
      </c>
      <c r="L35" s="11" t="s">
        <v>124</v>
      </c>
      <c r="M35" s="11" t="s">
        <v>128</v>
      </c>
      <c r="N35" s="11" t="s">
        <v>129</v>
      </c>
      <c r="O35" s="16" t="s">
        <v>45</v>
      </c>
      <c r="P35" s="11"/>
      <c r="Q35" s="8"/>
      <c r="R35" s="14"/>
    </row>
    <row r="36" spans="1:18" ht="63" customHeight="1" x14ac:dyDescent="0.3">
      <c r="A36" s="7" t="str">
        <f t="shared" si="1"/>
        <v>High Priority/Approved by PO</v>
      </c>
      <c r="B36" s="8" t="s">
        <v>34</v>
      </c>
      <c r="C36" s="9" t="s">
        <v>35</v>
      </c>
      <c r="D36" s="8" t="str">
        <f t="shared" si="0"/>
        <v>EXT_PTCS_34</v>
      </c>
      <c r="E36" s="10">
        <v>46234</v>
      </c>
      <c r="F36" s="8" t="s">
        <v>104</v>
      </c>
      <c r="G36" s="8" t="s">
        <v>130</v>
      </c>
      <c r="H36" s="8" t="s">
        <v>38</v>
      </c>
      <c r="I36" s="8" t="s">
        <v>39</v>
      </c>
      <c r="J36" s="11" t="s">
        <v>123</v>
      </c>
      <c r="K36" s="11" t="s">
        <v>71</v>
      </c>
      <c r="L36" s="11" t="s">
        <v>124</v>
      </c>
      <c r="M36" s="11" t="s">
        <v>131</v>
      </c>
      <c r="N36" s="11" t="s">
        <v>129</v>
      </c>
      <c r="O36" s="16" t="s">
        <v>45</v>
      </c>
      <c r="P36" s="11"/>
      <c r="Q36" s="8"/>
      <c r="R36" s="14"/>
    </row>
    <row r="37" spans="1:18" ht="45.6" x14ac:dyDescent="0.3">
      <c r="A37" s="7" t="str">
        <f t="shared" si="1"/>
        <v>High Priority/Approved by PO</v>
      </c>
      <c r="B37" s="8" t="s">
        <v>34</v>
      </c>
      <c r="C37" s="9" t="s">
        <v>35</v>
      </c>
      <c r="D37" s="8" t="str">
        <f t="shared" si="0"/>
        <v>EXT_PTCS_35</v>
      </c>
      <c r="E37" s="10">
        <v>46234</v>
      </c>
      <c r="F37" s="8" t="s">
        <v>104</v>
      </c>
      <c r="G37" s="8" t="s">
        <v>132</v>
      </c>
      <c r="H37" s="8" t="s">
        <v>38</v>
      </c>
      <c r="I37" s="8" t="s">
        <v>39</v>
      </c>
      <c r="J37" s="11" t="s">
        <v>123</v>
      </c>
      <c r="K37" s="11" t="s">
        <v>71</v>
      </c>
      <c r="L37" s="11" t="s">
        <v>124</v>
      </c>
      <c r="M37" s="11" t="s">
        <v>133</v>
      </c>
      <c r="N37" s="11" t="s">
        <v>129</v>
      </c>
      <c r="O37" s="16" t="s">
        <v>45</v>
      </c>
      <c r="P37" s="11"/>
      <c r="Q37" s="8"/>
      <c r="R37" s="14"/>
    </row>
    <row r="38" spans="1:18" ht="45.6" x14ac:dyDescent="0.3">
      <c r="A38" s="7" t="str">
        <f t="shared" si="1"/>
        <v>High Priority/Approved by PO</v>
      </c>
      <c r="B38" s="8" t="s">
        <v>34</v>
      </c>
      <c r="C38" s="9" t="s">
        <v>35</v>
      </c>
      <c r="D38" s="8" t="str">
        <f t="shared" si="0"/>
        <v>EXT_PTCS_36</v>
      </c>
      <c r="E38" s="10">
        <v>46234</v>
      </c>
      <c r="F38" s="8" t="s">
        <v>104</v>
      </c>
      <c r="G38" s="8" t="s">
        <v>134</v>
      </c>
      <c r="H38" s="8" t="s">
        <v>38</v>
      </c>
      <c r="I38" s="8" t="s">
        <v>39</v>
      </c>
      <c r="J38" s="11" t="s">
        <v>135</v>
      </c>
      <c r="K38" s="11" t="s">
        <v>71</v>
      </c>
      <c r="L38" s="11" t="s">
        <v>136</v>
      </c>
      <c r="M38" s="11" t="s">
        <v>137</v>
      </c>
      <c r="N38" s="11" t="s">
        <v>138</v>
      </c>
      <c r="O38" s="16" t="s">
        <v>45</v>
      </c>
      <c r="P38" s="11"/>
      <c r="Q38" s="8"/>
      <c r="R38" s="14"/>
    </row>
    <row r="39" spans="1:18" ht="45.6" x14ac:dyDescent="0.3">
      <c r="A39" s="7" t="str">
        <f t="shared" si="1"/>
        <v>High Priority/Approved by PO</v>
      </c>
      <c r="B39" s="8" t="s">
        <v>34</v>
      </c>
      <c r="C39" s="9" t="s">
        <v>35</v>
      </c>
      <c r="D39" s="8" t="str">
        <f t="shared" si="0"/>
        <v>EXT_PTCS_37</v>
      </c>
      <c r="E39" s="10">
        <v>46234</v>
      </c>
      <c r="F39" s="8" t="s">
        <v>104</v>
      </c>
      <c r="G39" s="8" t="s">
        <v>139</v>
      </c>
      <c r="H39" s="8" t="s">
        <v>38</v>
      </c>
      <c r="I39" s="8" t="s">
        <v>46</v>
      </c>
      <c r="J39" s="11" t="s">
        <v>140</v>
      </c>
      <c r="K39" s="11" t="s">
        <v>141</v>
      </c>
      <c r="L39" s="11" t="s">
        <v>108</v>
      </c>
      <c r="M39" s="11" t="s">
        <v>142</v>
      </c>
      <c r="N39" s="11" t="s">
        <v>143</v>
      </c>
      <c r="O39" s="16" t="s">
        <v>45</v>
      </c>
      <c r="P39" s="11"/>
      <c r="Q39" s="8"/>
      <c r="R39" s="14"/>
    </row>
    <row r="40" spans="1:18" ht="45.6" x14ac:dyDescent="0.3">
      <c r="A40" s="7" t="str">
        <f t="shared" si="1"/>
        <v>High Priority/Approved by PO</v>
      </c>
      <c r="B40" s="8" t="s">
        <v>34</v>
      </c>
      <c r="C40" s="9" t="s">
        <v>35</v>
      </c>
      <c r="D40" s="8" t="str">
        <f t="shared" si="0"/>
        <v>EXT_PTCS_38</v>
      </c>
      <c r="E40" s="10">
        <v>46234</v>
      </c>
      <c r="F40" s="8" t="s">
        <v>104</v>
      </c>
      <c r="G40" s="8" t="s">
        <v>144</v>
      </c>
      <c r="H40" s="8" t="s">
        <v>38</v>
      </c>
      <c r="I40" s="8" t="s">
        <v>46</v>
      </c>
      <c r="J40" s="11" t="s">
        <v>140</v>
      </c>
      <c r="K40" s="11" t="s">
        <v>141</v>
      </c>
      <c r="L40" s="11" t="s">
        <v>108</v>
      </c>
      <c r="M40" s="11" t="s">
        <v>145</v>
      </c>
      <c r="N40" s="11" t="s">
        <v>146</v>
      </c>
      <c r="O40" s="16" t="s">
        <v>45</v>
      </c>
      <c r="P40" s="11"/>
      <c r="Q40" s="8"/>
      <c r="R40" s="14"/>
    </row>
    <row r="41" spans="1:18" ht="45.6" x14ac:dyDescent="0.3">
      <c r="A41" s="7" t="str">
        <f t="shared" si="1"/>
        <v>Medium Priority/Approved by PO</v>
      </c>
      <c r="B41" s="8" t="s">
        <v>103</v>
      </c>
      <c r="C41" s="9" t="s">
        <v>35</v>
      </c>
      <c r="D41" s="8" t="str">
        <f t="shared" si="0"/>
        <v>EXT_PTCS_39</v>
      </c>
      <c r="E41" s="10">
        <v>46234</v>
      </c>
      <c r="F41" s="8" t="s">
        <v>104</v>
      </c>
      <c r="G41" s="8" t="s">
        <v>147</v>
      </c>
      <c r="H41" s="8" t="s">
        <v>38</v>
      </c>
      <c r="I41" s="8" t="s">
        <v>46</v>
      </c>
      <c r="J41" s="11" t="s">
        <v>148</v>
      </c>
      <c r="K41" s="11" t="s">
        <v>141</v>
      </c>
      <c r="L41" s="11" t="s">
        <v>108</v>
      </c>
      <c r="M41" s="11" t="s">
        <v>149</v>
      </c>
      <c r="N41" s="11" t="s">
        <v>150</v>
      </c>
      <c r="O41" s="16" t="s">
        <v>45</v>
      </c>
      <c r="P41" s="11"/>
      <c r="Q41" s="8"/>
      <c r="R41" s="14"/>
    </row>
    <row r="42" spans="1:18" ht="45.6" x14ac:dyDescent="0.3">
      <c r="A42" s="7" t="str">
        <f t="shared" si="1"/>
        <v>Medium Priority/Approved by PO</v>
      </c>
      <c r="B42" s="8" t="s">
        <v>103</v>
      </c>
      <c r="C42" s="9" t="s">
        <v>35</v>
      </c>
      <c r="D42" s="8" t="str">
        <f t="shared" si="0"/>
        <v>EXT_PTCS_40</v>
      </c>
      <c r="E42" s="10">
        <v>46234</v>
      </c>
      <c r="F42" s="8" t="s">
        <v>104</v>
      </c>
      <c r="G42" s="8" t="s">
        <v>151</v>
      </c>
      <c r="H42" s="8" t="s">
        <v>38</v>
      </c>
      <c r="I42" s="8" t="s">
        <v>46</v>
      </c>
      <c r="J42" s="11" t="s">
        <v>148</v>
      </c>
      <c r="K42" s="11" t="s">
        <v>141</v>
      </c>
      <c r="L42" s="11" t="s">
        <v>108</v>
      </c>
      <c r="M42" s="11" t="s">
        <v>152</v>
      </c>
      <c r="N42" s="11" t="s">
        <v>153</v>
      </c>
      <c r="O42" s="16" t="s">
        <v>45</v>
      </c>
      <c r="P42" s="11"/>
      <c r="Q42" s="8"/>
      <c r="R42" s="14"/>
    </row>
    <row r="43" spans="1:18" ht="45.6" x14ac:dyDescent="0.3">
      <c r="A43" s="7" t="str">
        <f t="shared" si="1"/>
        <v>Medium Priority/Approved by PO</v>
      </c>
      <c r="B43" s="8" t="s">
        <v>103</v>
      </c>
      <c r="C43" s="9" t="s">
        <v>35</v>
      </c>
      <c r="D43" s="8" t="str">
        <f t="shared" si="0"/>
        <v>EXT_PTCS_41</v>
      </c>
      <c r="E43" s="10">
        <v>46234</v>
      </c>
      <c r="F43" s="8" t="s">
        <v>104</v>
      </c>
      <c r="G43" s="8" t="s">
        <v>154</v>
      </c>
      <c r="H43" s="8" t="s">
        <v>38</v>
      </c>
      <c r="I43" s="8" t="s">
        <v>46</v>
      </c>
      <c r="J43" s="11" t="s">
        <v>155</v>
      </c>
      <c r="K43" s="11" t="s">
        <v>141</v>
      </c>
      <c r="L43" s="11" t="s">
        <v>108</v>
      </c>
      <c r="M43" s="11" t="s">
        <v>156</v>
      </c>
      <c r="N43" s="11" t="s">
        <v>157</v>
      </c>
      <c r="O43" s="16" t="s">
        <v>45</v>
      </c>
      <c r="P43" s="11"/>
      <c r="Q43" s="8"/>
      <c r="R43" s="14"/>
    </row>
    <row r="44" spans="1:18" ht="45.6" x14ac:dyDescent="0.3">
      <c r="A44" s="7" t="str">
        <f t="shared" si="1"/>
        <v>Medium Priority/Approved by PO</v>
      </c>
      <c r="B44" s="8" t="s">
        <v>103</v>
      </c>
      <c r="C44" s="9" t="s">
        <v>35</v>
      </c>
      <c r="D44" s="8" t="str">
        <f t="shared" si="0"/>
        <v>EXT_PTCS_42</v>
      </c>
      <c r="E44" s="10">
        <v>46234</v>
      </c>
      <c r="F44" s="8" t="s">
        <v>104</v>
      </c>
      <c r="G44" s="8" t="s">
        <v>158</v>
      </c>
      <c r="H44" s="8" t="s">
        <v>38</v>
      </c>
      <c r="I44" s="8" t="s">
        <v>46</v>
      </c>
      <c r="J44" s="11" t="s">
        <v>155</v>
      </c>
      <c r="K44" s="11" t="s">
        <v>141</v>
      </c>
      <c r="L44" s="11" t="s">
        <v>108</v>
      </c>
      <c r="M44" s="11" t="s">
        <v>159</v>
      </c>
      <c r="N44" s="11" t="s">
        <v>160</v>
      </c>
      <c r="O44" s="16" t="s">
        <v>45</v>
      </c>
      <c r="P44" s="11"/>
      <c r="Q44" s="8"/>
      <c r="R44" s="14"/>
    </row>
    <row r="45" spans="1:18" ht="45.6" x14ac:dyDescent="0.3">
      <c r="A45" s="7" t="str">
        <f t="shared" si="1"/>
        <v>High Priority/Approved by PO</v>
      </c>
      <c r="B45" s="8" t="s">
        <v>34</v>
      </c>
      <c r="C45" s="9" t="s">
        <v>35</v>
      </c>
      <c r="D45" s="8" t="str">
        <f t="shared" si="0"/>
        <v>EXT_PTCS_43</v>
      </c>
      <c r="E45" s="10">
        <v>46234</v>
      </c>
      <c r="F45" s="8" t="s">
        <v>104</v>
      </c>
      <c r="G45" s="8" t="s">
        <v>161</v>
      </c>
      <c r="H45" s="8" t="s">
        <v>38</v>
      </c>
      <c r="I45" s="8" t="s">
        <v>46</v>
      </c>
      <c r="J45" s="11" t="s">
        <v>155</v>
      </c>
      <c r="K45" s="11" t="s">
        <v>141</v>
      </c>
      <c r="L45" s="11" t="s">
        <v>108</v>
      </c>
      <c r="M45" s="11" t="s">
        <v>156</v>
      </c>
      <c r="N45" s="11" t="s">
        <v>157</v>
      </c>
      <c r="O45" s="16" t="s">
        <v>45</v>
      </c>
      <c r="P45" s="11"/>
      <c r="Q45" s="8"/>
      <c r="R45" s="14"/>
    </row>
    <row r="46" spans="1:18" ht="45.6" x14ac:dyDescent="0.3">
      <c r="A46" s="7" t="str">
        <f t="shared" si="1"/>
        <v>High Priority/Approved by PO</v>
      </c>
      <c r="B46" s="8" t="s">
        <v>34</v>
      </c>
      <c r="C46" s="9" t="s">
        <v>35</v>
      </c>
      <c r="D46" s="8" t="str">
        <f t="shared" si="0"/>
        <v>EXT_PTCS_44</v>
      </c>
      <c r="E46" s="10">
        <v>46234</v>
      </c>
      <c r="F46" s="8" t="s">
        <v>104</v>
      </c>
      <c r="G46" s="8" t="s">
        <v>162</v>
      </c>
      <c r="H46" s="8" t="s">
        <v>38</v>
      </c>
      <c r="I46" s="8" t="s">
        <v>46</v>
      </c>
      <c r="J46" s="11" t="s">
        <v>155</v>
      </c>
      <c r="K46" s="11" t="s">
        <v>141</v>
      </c>
      <c r="L46" s="11" t="s">
        <v>108</v>
      </c>
      <c r="M46" s="11" t="s">
        <v>159</v>
      </c>
      <c r="N46" s="11" t="s">
        <v>160</v>
      </c>
      <c r="O46" s="16" t="s">
        <v>45</v>
      </c>
      <c r="P46" s="11"/>
      <c r="Q46" s="8"/>
      <c r="R46" s="14"/>
    </row>
    <row r="47" spans="1:18" ht="45.6" x14ac:dyDescent="0.3">
      <c r="A47" s="7" t="str">
        <f t="shared" si="1"/>
        <v>High Priority/Approved by PO</v>
      </c>
      <c r="B47" s="8" t="s">
        <v>34</v>
      </c>
      <c r="C47" s="9" t="s">
        <v>35</v>
      </c>
      <c r="D47" s="8" t="str">
        <f t="shared" si="0"/>
        <v>EXT_PTCS_45</v>
      </c>
      <c r="E47" s="10">
        <v>46234</v>
      </c>
      <c r="F47" s="8" t="s">
        <v>104</v>
      </c>
      <c r="G47" s="8" t="s">
        <v>163</v>
      </c>
      <c r="H47" s="8" t="s">
        <v>38</v>
      </c>
      <c r="I47" s="8" t="s">
        <v>46</v>
      </c>
      <c r="J47" s="11" t="s">
        <v>155</v>
      </c>
      <c r="K47" s="11" t="s">
        <v>141</v>
      </c>
      <c r="L47" s="11" t="s">
        <v>108</v>
      </c>
      <c r="M47" s="11" t="s">
        <v>156</v>
      </c>
      <c r="N47" s="11" t="s">
        <v>157</v>
      </c>
      <c r="O47" s="16" t="s">
        <v>45</v>
      </c>
      <c r="P47" s="11"/>
      <c r="Q47" s="8"/>
      <c r="R47" s="14"/>
    </row>
    <row r="48" spans="1:18" ht="45.6" x14ac:dyDescent="0.3">
      <c r="A48" s="7" t="str">
        <f t="shared" si="1"/>
        <v>High Priority/Approved by PO</v>
      </c>
      <c r="B48" s="8" t="s">
        <v>34</v>
      </c>
      <c r="C48" s="9" t="s">
        <v>35</v>
      </c>
      <c r="D48" s="8" t="str">
        <f t="shared" si="0"/>
        <v>EXT_PTCS_46</v>
      </c>
      <c r="E48" s="10">
        <v>46234</v>
      </c>
      <c r="F48" s="8" t="s">
        <v>104</v>
      </c>
      <c r="G48" s="8" t="s">
        <v>164</v>
      </c>
      <c r="H48" s="8" t="s">
        <v>38</v>
      </c>
      <c r="I48" s="8" t="s">
        <v>46</v>
      </c>
      <c r="J48" s="11" t="s">
        <v>155</v>
      </c>
      <c r="K48" s="11" t="s">
        <v>141</v>
      </c>
      <c r="L48" s="11" t="s">
        <v>108</v>
      </c>
      <c r="M48" s="11" t="s">
        <v>159</v>
      </c>
      <c r="N48" s="11" t="s">
        <v>165</v>
      </c>
      <c r="O48" s="16" t="s">
        <v>45</v>
      </c>
      <c r="P48" s="11"/>
      <c r="Q48" s="8"/>
      <c r="R48" s="14"/>
    </row>
    <row r="49" spans="1:18" ht="68.400000000000006" x14ac:dyDescent="0.3">
      <c r="A49" s="7" t="str">
        <f t="shared" si="1"/>
        <v>High Priority/Approved by PO</v>
      </c>
      <c r="B49" s="8" t="s">
        <v>34</v>
      </c>
      <c r="C49" s="9" t="s">
        <v>35</v>
      </c>
      <c r="D49" s="8" t="str">
        <f t="shared" si="0"/>
        <v>EXT_PTCS_47</v>
      </c>
      <c r="E49" s="10">
        <v>46234</v>
      </c>
      <c r="F49" s="8" t="s">
        <v>104</v>
      </c>
      <c r="G49" s="8" t="s">
        <v>105</v>
      </c>
      <c r="H49" s="8" t="s">
        <v>38</v>
      </c>
      <c r="I49" s="8" t="s">
        <v>46</v>
      </c>
      <c r="J49" s="11" t="s">
        <v>106</v>
      </c>
      <c r="K49" s="11" t="s">
        <v>107</v>
      </c>
      <c r="L49" s="11" t="s">
        <v>108</v>
      </c>
      <c r="M49" s="11" t="s">
        <v>166</v>
      </c>
      <c r="N49" s="11" t="s">
        <v>167</v>
      </c>
      <c r="O49" s="16" t="s">
        <v>45</v>
      </c>
      <c r="P49" s="11"/>
      <c r="Q49" s="8"/>
      <c r="R49" s="14"/>
    </row>
    <row r="50" spans="1:18" ht="68.400000000000006" x14ac:dyDescent="0.3">
      <c r="A50" s="7" t="str">
        <f t="shared" si="1"/>
        <v>High Priority/Approved by PO</v>
      </c>
      <c r="B50" s="8" t="s">
        <v>34</v>
      </c>
      <c r="C50" s="9" t="s">
        <v>35</v>
      </c>
      <c r="D50" s="8" t="str">
        <f t="shared" si="0"/>
        <v>EXT_PTCS_48</v>
      </c>
      <c r="E50" s="10">
        <v>46234</v>
      </c>
      <c r="F50" s="8" t="s">
        <v>104</v>
      </c>
      <c r="G50" s="8" t="s">
        <v>111</v>
      </c>
      <c r="H50" s="8" t="s">
        <v>38</v>
      </c>
      <c r="I50" s="8" t="s">
        <v>46</v>
      </c>
      <c r="J50" s="11" t="s">
        <v>106</v>
      </c>
      <c r="K50" s="11" t="s">
        <v>107</v>
      </c>
      <c r="L50" s="11" t="s">
        <v>108</v>
      </c>
      <c r="M50" s="11" t="s">
        <v>168</v>
      </c>
      <c r="N50" s="11" t="s">
        <v>167</v>
      </c>
      <c r="O50" s="16" t="s">
        <v>45</v>
      </c>
      <c r="P50" s="11"/>
      <c r="Q50" s="8"/>
      <c r="R50" s="14"/>
    </row>
    <row r="51" spans="1:18" ht="102.6" x14ac:dyDescent="0.3">
      <c r="A51" s="7" t="str">
        <f t="shared" si="1"/>
        <v>High Priority/Approved by PO</v>
      </c>
      <c r="B51" s="8" t="s">
        <v>34</v>
      </c>
      <c r="C51" s="9" t="s">
        <v>35</v>
      </c>
      <c r="D51" s="8" t="str">
        <f t="shared" si="0"/>
        <v>EXT_PTCS_49</v>
      </c>
      <c r="E51" s="10">
        <v>46234</v>
      </c>
      <c r="F51" s="8" t="s">
        <v>104</v>
      </c>
      <c r="G51" s="8" t="s">
        <v>113</v>
      </c>
      <c r="H51" s="8" t="s">
        <v>38</v>
      </c>
      <c r="I51" s="8" t="s">
        <v>46</v>
      </c>
      <c r="J51" s="11" t="s">
        <v>114</v>
      </c>
      <c r="K51" s="11" t="s">
        <v>115</v>
      </c>
      <c r="L51" s="11" t="s">
        <v>108</v>
      </c>
      <c r="M51" s="11" t="s">
        <v>169</v>
      </c>
      <c r="N51" s="11" t="s">
        <v>170</v>
      </c>
      <c r="O51" s="16" t="s">
        <v>45</v>
      </c>
      <c r="P51" s="11"/>
      <c r="Q51" s="8"/>
      <c r="R51" s="14"/>
    </row>
    <row r="52" spans="1:18" ht="102.6" x14ac:dyDescent="0.3">
      <c r="A52" s="7" t="str">
        <f t="shared" si="1"/>
        <v>High Priority/Approved by PO</v>
      </c>
      <c r="B52" s="8" t="s">
        <v>34</v>
      </c>
      <c r="C52" s="9" t="s">
        <v>35</v>
      </c>
      <c r="D52" s="8" t="str">
        <f t="shared" si="0"/>
        <v>EXT_PTCS_50</v>
      </c>
      <c r="E52" s="10">
        <v>46234</v>
      </c>
      <c r="F52" s="8" t="s">
        <v>104</v>
      </c>
      <c r="G52" s="8" t="s">
        <v>118</v>
      </c>
      <c r="H52" s="8" t="s">
        <v>38</v>
      </c>
      <c r="I52" s="8" t="s">
        <v>46</v>
      </c>
      <c r="J52" s="11" t="s">
        <v>114</v>
      </c>
      <c r="K52" s="11" t="s">
        <v>115</v>
      </c>
      <c r="L52" s="11" t="s">
        <v>108</v>
      </c>
      <c r="M52" s="11" t="s">
        <v>171</v>
      </c>
      <c r="N52" s="11" t="s">
        <v>170</v>
      </c>
      <c r="O52" s="16" t="s">
        <v>45</v>
      </c>
      <c r="P52" s="11"/>
      <c r="Q52" s="8"/>
      <c r="R52" s="14"/>
    </row>
    <row r="53" spans="1:18" ht="102.6" x14ac:dyDescent="0.3">
      <c r="A53" s="7" t="str">
        <f t="shared" si="1"/>
        <v>High Priority/Approved by PO</v>
      </c>
      <c r="B53" s="8" t="s">
        <v>34</v>
      </c>
      <c r="C53" s="9" t="s">
        <v>35</v>
      </c>
      <c r="D53" s="8" t="str">
        <f t="shared" si="0"/>
        <v>EXT_PTCS_51</v>
      </c>
      <c r="E53" s="10">
        <v>46234</v>
      </c>
      <c r="F53" s="8" t="s">
        <v>104</v>
      </c>
      <c r="G53" s="8" t="s">
        <v>120</v>
      </c>
      <c r="H53" s="8" t="s">
        <v>38</v>
      </c>
      <c r="I53" s="8" t="s">
        <v>46</v>
      </c>
      <c r="J53" s="11" t="s">
        <v>114</v>
      </c>
      <c r="K53" s="11" t="s">
        <v>115</v>
      </c>
      <c r="L53" s="11" t="s">
        <v>108</v>
      </c>
      <c r="M53" s="11" t="s">
        <v>172</v>
      </c>
      <c r="N53" s="11" t="s">
        <v>170</v>
      </c>
      <c r="O53" s="16" t="s">
        <v>45</v>
      </c>
      <c r="P53" s="11"/>
      <c r="Q53" s="8"/>
      <c r="R53" s="14"/>
    </row>
    <row r="54" spans="1:18" ht="45.6" x14ac:dyDescent="0.3">
      <c r="A54" s="7" t="str">
        <f t="shared" si="1"/>
        <v>High Priority/Approved by PO</v>
      </c>
      <c r="B54" s="8" t="s">
        <v>34</v>
      </c>
      <c r="C54" s="9" t="s">
        <v>35</v>
      </c>
      <c r="D54" s="8" t="str">
        <f t="shared" si="0"/>
        <v>EXT_PTCS_52</v>
      </c>
      <c r="E54" s="10">
        <v>46234</v>
      </c>
      <c r="F54" s="8" t="s">
        <v>104</v>
      </c>
      <c r="G54" s="8" t="s">
        <v>122</v>
      </c>
      <c r="H54" s="8" t="s">
        <v>38</v>
      </c>
      <c r="I54" s="8" t="s">
        <v>46</v>
      </c>
      <c r="J54" s="11" t="s">
        <v>123</v>
      </c>
      <c r="K54" s="11" t="s">
        <v>71</v>
      </c>
      <c r="L54" s="11" t="s">
        <v>124</v>
      </c>
      <c r="M54" s="11" t="s">
        <v>173</v>
      </c>
      <c r="N54" s="11" t="s">
        <v>129</v>
      </c>
      <c r="O54" s="16" t="s">
        <v>45</v>
      </c>
      <c r="P54" s="11"/>
      <c r="Q54" s="8"/>
      <c r="R54" s="14"/>
    </row>
    <row r="55" spans="1:18" ht="45.6" x14ac:dyDescent="0.3">
      <c r="A55" s="7" t="str">
        <f t="shared" si="1"/>
        <v>High Priority/Approved by PO</v>
      </c>
      <c r="B55" s="8" t="s">
        <v>34</v>
      </c>
      <c r="C55" s="9" t="s">
        <v>35</v>
      </c>
      <c r="D55" s="8" t="str">
        <f t="shared" si="0"/>
        <v>EXT_PTCS_53</v>
      </c>
      <c r="E55" s="10">
        <v>46234</v>
      </c>
      <c r="F55" s="8" t="s">
        <v>104</v>
      </c>
      <c r="G55" s="8" t="s">
        <v>127</v>
      </c>
      <c r="H55" s="8" t="s">
        <v>38</v>
      </c>
      <c r="I55" s="8" t="s">
        <v>46</v>
      </c>
      <c r="J55" s="11" t="s">
        <v>123</v>
      </c>
      <c r="K55" s="11" t="s">
        <v>71</v>
      </c>
      <c r="L55" s="11" t="s">
        <v>124</v>
      </c>
      <c r="M55" s="11" t="s">
        <v>128</v>
      </c>
      <c r="N55" s="11" t="s">
        <v>129</v>
      </c>
      <c r="O55" s="16" t="s">
        <v>45</v>
      </c>
      <c r="P55" s="11"/>
      <c r="Q55" s="8"/>
      <c r="R55" s="14"/>
    </row>
    <row r="56" spans="1:18" ht="45.6" x14ac:dyDescent="0.3">
      <c r="A56" s="7" t="str">
        <f t="shared" si="1"/>
        <v>High Priority/Approved by PO</v>
      </c>
      <c r="B56" s="8" t="s">
        <v>34</v>
      </c>
      <c r="C56" s="9" t="s">
        <v>35</v>
      </c>
      <c r="D56" s="8" t="str">
        <f t="shared" si="0"/>
        <v>EXT_PTCS_54</v>
      </c>
      <c r="E56" s="10">
        <v>46234</v>
      </c>
      <c r="F56" s="8" t="s">
        <v>104</v>
      </c>
      <c r="G56" s="8" t="s">
        <v>130</v>
      </c>
      <c r="H56" s="8" t="s">
        <v>38</v>
      </c>
      <c r="I56" s="8" t="s">
        <v>46</v>
      </c>
      <c r="J56" s="11" t="s">
        <v>123</v>
      </c>
      <c r="K56" s="11" t="s">
        <v>71</v>
      </c>
      <c r="L56" s="11" t="s">
        <v>124</v>
      </c>
      <c r="M56" s="11" t="s">
        <v>131</v>
      </c>
      <c r="N56" s="11" t="s">
        <v>129</v>
      </c>
      <c r="O56" s="16" t="s">
        <v>45</v>
      </c>
      <c r="P56" s="11"/>
      <c r="Q56" s="8"/>
      <c r="R56" s="14"/>
    </row>
    <row r="57" spans="1:18" s="17" customFormat="1" ht="45.6" x14ac:dyDescent="0.3">
      <c r="A57" s="7" t="str">
        <f t="shared" si="1"/>
        <v>High Priority/Approved by PO</v>
      </c>
      <c r="B57" s="8" t="s">
        <v>34</v>
      </c>
      <c r="C57" s="9" t="s">
        <v>35</v>
      </c>
      <c r="D57" s="8" t="str">
        <f t="shared" si="0"/>
        <v>EXT_PTCS_55</v>
      </c>
      <c r="E57" s="10">
        <v>46234</v>
      </c>
      <c r="F57" s="8" t="s">
        <v>104</v>
      </c>
      <c r="G57" s="8" t="s">
        <v>132</v>
      </c>
      <c r="H57" s="8" t="s">
        <v>38</v>
      </c>
      <c r="I57" s="8" t="s">
        <v>46</v>
      </c>
      <c r="J57" s="11" t="s">
        <v>123</v>
      </c>
      <c r="K57" s="11" t="s">
        <v>71</v>
      </c>
      <c r="L57" s="11" t="s">
        <v>124</v>
      </c>
      <c r="M57" s="11" t="s">
        <v>133</v>
      </c>
      <c r="N57" s="11" t="s">
        <v>129</v>
      </c>
      <c r="O57" s="16" t="s">
        <v>45</v>
      </c>
      <c r="P57" s="11"/>
      <c r="Q57" s="8"/>
      <c r="R57" s="14"/>
    </row>
    <row r="58" spans="1:18" s="17" customFormat="1" ht="45.6" x14ac:dyDescent="0.3">
      <c r="A58" s="7" t="str">
        <f t="shared" si="1"/>
        <v>High Priority/Approved by PO</v>
      </c>
      <c r="B58" s="8" t="s">
        <v>34</v>
      </c>
      <c r="C58" s="9" t="s">
        <v>35</v>
      </c>
      <c r="D58" s="8" t="str">
        <f t="shared" si="0"/>
        <v>EXT_PTCS_56</v>
      </c>
      <c r="E58" s="10">
        <v>46234</v>
      </c>
      <c r="F58" s="8" t="s">
        <v>104</v>
      </c>
      <c r="G58" s="8" t="s">
        <v>174</v>
      </c>
      <c r="H58" s="8" t="s">
        <v>38</v>
      </c>
      <c r="I58" s="8" t="s">
        <v>46</v>
      </c>
      <c r="J58" s="11" t="s">
        <v>135</v>
      </c>
      <c r="K58" s="11" t="s">
        <v>71</v>
      </c>
      <c r="L58" s="11" t="s">
        <v>136</v>
      </c>
      <c r="M58" s="11" t="s">
        <v>137</v>
      </c>
      <c r="N58" s="11" t="s">
        <v>138</v>
      </c>
      <c r="O58" s="16" t="s">
        <v>45</v>
      </c>
      <c r="P58" s="11"/>
      <c r="Q58" s="8"/>
      <c r="R58" s="14"/>
    </row>
    <row r="59" spans="1:18" ht="45.6" x14ac:dyDescent="0.3">
      <c r="A59" s="7" t="str">
        <f t="shared" si="1"/>
        <v>High Priority/Approved by PO</v>
      </c>
      <c r="B59" s="8" t="s">
        <v>34</v>
      </c>
      <c r="C59" s="9" t="s">
        <v>35</v>
      </c>
      <c r="D59" s="8" t="str">
        <f t="shared" si="0"/>
        <v>EXT_PTCS_57</v>
      </c>
      <c r="E59" s="10">
        <v>46234</v>
      </c>
      <c r="F59" s="8" t="s">
        <v>175</v>
      </c>
      <c r="G59" s="8" t="s">
        <v>176</v>
      </c>
      <c r="H59" s="8" t="s">
        <v>38</v>
      </c>
      <c r="I59" s="8" t="s">
        <v>39</v>
      </c>
      <c r="J59" s="11" t="s">
        <v>177</v>
      </c>
      <c r="K59" s="11" t="s">
        <v>178</v>
      </c>
      <c r="L59" s="11" t="s">
        <v>179</v>
      </c>
      <c r="M59" s="11" t="s">
        <v>180</v>
      </c>
      <c r="N59" s="11" t="s">
        <v>181</v>
      </c>
      <c r="O59" s="12" t="s">
        <v>45</v>
      </c>
      <c r="P59" s="11"/>
      <c r="Q59" s="8"/>
      <c r="R59" s="14"/>
    </row>
    <row r="60" spans="1:18" ht="45.6" x14ac:dyDescent="0.3">
      <c r="A60" s="7" t="str">
        <f t="shared" si="1"/>
        <v>High Priority/Approved by PO</v>
      </c>
      <c r="B60" s="8" t="s">
        <v>34</v>
      </c>
      <c r="C60" s="9" t="s">
        <v>35</v>
      </c>
      <c r="D60" s="8" t="str">
        <f t="shared" si="0"/>
        <v>EXT_PTCS_58</v>
      </c>
      <c r="E60" s="10">
        <v>46234</v>
      </c>
      <c r="F60" s="8" t="s">
        <v>175</v>
      </c>
      <c r="G60" s="8" t="s">
        <v>182</v>
      </c>
      <c r="H60" s="8" t="s">
        <v>38</v>
      </c>
      <c r="I60" s="8" t="s">
        <v>39</v>
      </c>
      <c r="J60" s="11" t="s">
        <v>183</v>
      </c>
      <c r="K60" s="11" t="s">
        <v>71</v>
      </c>
      <c r="L60" s="11" t="s">
        <v>179</v>
      </c>
      <c r="M60" s="11" t="s">
        <v>184</v>
      </c>
      <c r="N60" s="11" t="s">
        <v>185</v>
      </c>
      <c r="O60" s="12" t="s">
        <v>45</v>
      </c>
      <c r="P60" s="11"/>
      <c r="Q60" s="8"/>
      <c r="R60" s="14"/>
    </row>
    <row r="61" spans="1:18" ht="30" customHeight="1" x14ac:dyDescent="0.3">
      <c r="A61" s="7" t="str">
        <f t="shared" si="1"/>
        <v>High Priority/Approved by PO</v>
      </c>
      <c r="B61" s="8" t="s">
        <v>34</v>
      </c>
      <c r="C61" s="9" t="s">
        <v>35</v>
      </c>
      <c r="D61" s="8" t="str">
        <f t="shared" si="0"/>
        <v>EXT_PTCS_59</v>
      </c>
      <c r="E61" s="10">
        <v>46234</v>
      </c>
      <c r="F61" s="8" t="s">
        <v>175</v>
      </c>
      <c r="G61" s="8" t="s">
        <v>186</v>
      </c>
      <c r="H61" s="8" t="s">
        <v>38</v>
      </c>
      <c r="I61" s="8" t="s">
        <v>39</v>
      </c>
      <c r="J61" s="11" t="s">
        <v>183</v>
      </c>
      <c r="K61" s="11" t="s">
        <v>71</v>
      </c>
      <c r="L61" s="11" t="s">
        <v>187</v>
      </c>
      <c r="M61" s="11" t="s">
        <v>188</v>
      </c>
      <c r="N61" s="11" t="s">
        <v>189</v>
      </c>
      <c r="O61" s="12" t="s">
        <v>45</v>
      </c>
      <c r="P61" s="11"/>
      <c r="Q61" s="8"/>
      <c r="R61" s="14"/>
    </row>
    <row r="62" spans="1:18" ht="30" customHeight="1" x14ac:dyDescent="0.3">
      <c r="A62" s="7" t="str">
        <f t="shared" si="1"/>
        <v>High Priority/Approved by PO</v>
      </c>
      <c r="B62" s="8" t="s">
        <v>34</v>
      </c>
      <c r="C62" s="9" t="s">
        <v>35</v>
      </c>
      <c r="D62" s="8" t="str">
        <f t="shared" si="0"/>
        <v>EXT_PTCS_60</v>
      </c>
      <c r="E62" s="10">
        <v>46234</v>
      </c>
      <c r="F62" s="8" t="s">
        <v>190</v>
      </c>
      <c r="G62" s="8" t="s">
        <v>191</v>
      </c>
      <c r="H62" s="8" t="s">
        <v>38</v>
      </c>
      <c r="I62" s="8" t="s">
        <v>39</v>
      </c>
      <c r="J62" s="11" t="s">
        <v>192</v>
      </c>
      <c r="K62" s="11" t="s">
        <v>71</v>
      </c>
      <c r="L62" s="11" t="s">
        <v>193</v>
      </c>
      <c r="M62" s="11" t="s">
        <v>194</v>
      </c>
      <c r="N62" s="11" t="s">
        <v>195</v>
      </c>
      <c r="O62" s="12" t="s">
        <v>45</v>
      </c>
      <c r="P62" s="11"/>
      <c r="Q62" s="8"/>
      <c r="R62" s="14"/>
    </row>
    <row r="63" spans="1:18" ht="45.6" x14ac:dyDescent="0.3">
      <c r="A63" s="7" t="str">
        <f t="shared" si="1"/>
        <v>High Priority/Approved by PO</v>
      </c>
      <c r="B63" s="8" t="s">
        <v>34</v>
      </c>
      <c r="C63" s="9" t="s">
        <v>35</v>
      </c>
      <c r="D63" s="8" t="str">
        <f t="shared" si="0"/>
        <v>EXT_PTCS_61</v>
      </c>
      <c r="E63" s="10">
        <v>46234</v>
      </c>
      <c r="F63" s="8" t="s">
        <v>175</v>
      </c>
      <c r="G63" s="8" t="s">
        <v>176</v>
      </c>
      <c r="H63" s="8" t="s">
        <v>38</v>
      </c>
      <c r="I63" s="8" t="s">
        <v>46</v>
      </c>
      <c r="J63" s="11" t="s">
        <v>177</v>
      </c>
      <c r="K63" s="11" t="s">
        <v>178</v>
      </c>
      <c r="L63" s="11" t="s">
        <v>179</v>
      </c>
      <c r="M63" s="11" t="s">
        <v>180</v>
      </c>
      <c r="N63" s="11" t="s">
        <v>181</v>
      </c>
      <c r="O63" s="12" t="s">
        <v>45</v>
      </c>
      <c r="P63" s="11"/>
      <c r="Q63" s="8"/>
      <c r="R63" s="14"/>
    </row>
    <row r="64" spans="1:18" ht="45.6" x14ac:dyDescent="0.3">
      <c r="A64" s="7" t="str">
        <f t="shared" si="1"/>
        <v>High Priority/Approved by PO</v>
      </c>
      <c r="B64" s="8" t="s">
        <v>34</v>
      </c>
      <c r="C64" s="9" t="s">
        <v>35</v>
      </c>
      <c r="D64" s="8" t="str">
        <f t="shared" si="0"/>
        <v>EXT_PTCS_62</v>
      </c>
      <c r="E64" s="10">
        <v>46234</v>
      </c>
      <c r="F64" s="8" t="s">
        <v>175</v>
      </c>
      <c r="G64" s="8" t="s">
        <v>182</v>
      </c>
      <c r="H64" s="8" t="s">
        <v>38</v>
      </c>
      <c r="I64" s="8" t="s">
        <v>46</v>
      </c>
      <c r="J64" s="11" t="s">
        <v>196</v>
      </c>
      <c r="K64" s="11" t="s">
        <v>71</v>
      </c>
      <c r="L64" s="11" t="s">
        <v>179</v>
      </c>
      <c r="M64" s="11" t="s">
        <v>197</v>
      </c>
      <c r="N64" s="11" t="s">
        <v>185</v>
      </c>
      <c r="O64" s="12" t="s">
        <v>45</v>
      </c>
      <c r="P64" s="11"/>
      <c r="Q64" s="8"/>
      <c r="R64" s="14"/>
    </row>
    <row r="65" spans="1:18" ht="30" customHeight="1" x14ac:dyDescent="0.3">
      <c r="A65" s="7" t="str">
        <f t="shared" si="1"/>
        <v>High Priority/Approved by PO</v>
      </c>
      <c r="B65" s="8" t="s">
        <v>34</v>
      </c>
      <c r="C65" s="9" t="s">
        <v>35</v>
      </c>
      <c r="D65" s="8" t="str">
        <f t="shared" si="0"/>
        <v>EXT_PTCS_63</v>
      </c>
      <c r="E65" s="10">
        <v>46234</v>
      </c>
      <c r="F65" s="8" t="s">
        <v>175</v>
      </c>
      <c r="G65" s="8" t="s">
        <v>186</v>
      </c>
      <c r="H65" s="8" t="s">
        <v>38</v>
      </c>
      <c r="I65" s="8" t="s">
        <v>46</v>
      </c>
      <c r="J65" s="11" t="s">
        <v>196</v>
      </c>
      <c r="K65" s="11" t="s">
        <v>71</v>
      </c>
      <c r="L65" s="11" t="s">
        <v>187</v>
      </c>
      <c r="M65" s="11" t="s">
        <v>198</v>
      </c>
      <c r="N65" s="11" t="s">
        <v>199</v>
      </c>
      <c r="O65" s="12" t="s">
        <v>45</v>
      </c>
      <c r="P65" s="11"/>
      <c r="Q65" s="8"/>
      <c r="R65" s="14"/>
    </row>
    <row r="66" spans="1:18" ht="30" customHeight="1" x14ac:dyDescent="0.3">
      <c r="A66" s="7" t="str">
        <f t="shared" si="1"/>
        <v>High Priority/Approved by PO</v>
      </c>
      <c r="B66" s="8" t="s">
        <v>34</v>
      </c>
      <c r="C66" s="9" t="s">
        <v>35</v>
      </c>
      <c r="D66" s="8" t="str">
        <f t="shared" si="0"/>
        <v>EXT_PTCS_64</v>
      </c>
      <c r="E66" s="10">
        <v>46234</v>
      </c>
      <c r="F66" s="8" t="s">
        <v>190</v>
      </c>
      <c r="G66" s="8" t="s">
        <v>191</v>
      </c>
      <c r="H66" s="8" t="s">
        <v>38</v>
      </c>
      <c r="I66" s="8" t="s">
        <v>46</v>
      </c>
      <c r="J66" s="11" t="s">
        <v>200</v>
      </c>
      <c r="K66" s="11" t="s">
        <v>71</v>
      </c>
      <c r="L66" s="11" t="s">
        <v>193</v>
      </c>
      <c r="M66" s="11" t="s">
        <v>194</v>
      </c>
      <c r="N66" s="11" t="s">
        <v>195</v>
      </c>
      <c r="O66" s="12" t="s">
        <v>45</v>
      </c>
      <c r="P66" s="11"/>
      <c r="Q66" s="8"/>
      <c r="R66" s="14"/>
    </row>
    <row r="67" spans="1:18" ht="30" customHeight="1" x14ac:dyDescent="0.3">
      <c r="A67" s="7" t="str">
        <f t="shared" si="1"/>
        <v>Low Priority/Approved by PO</v>
      </c>
      <c r="B67" s="8" t="s">
        <v>96</v>
      </c>
      <c r="C67" s="9" t="s">
        <v>35</v>
      </c>
      <c r="D67" s="8" t="str">
        <f t="shared" ref="D67:D108" si="2">"EXT_PTCS_"&amp;ROW()-2</f>
        <v>EXT_PTCS_65</v>
      </c>
      <c r="E67" s="10">
        <v>46234</v>
      </c>
      <c r="F67" s="8" t="s">
        <v>201</v>
      </c>
      <c r="G67" s="8" t="s">
        <v>202</v>
      </c>
      <c r="H67" s="8" t="s">
        <v>38</v>
      </c>
      <c r="I67" s="8" t="s">
        <v>39</v>
      </c>
      <c r="J67" s="11" t="s">
        <v>203</v>
      </c>
      <c r="K67" s="11" t="s">
        <v>204</v>
      </c>
      <c r="L67" s="11" t="s">
        <v>205</v>
      </c>
      <c r="M67" s="11" t="s">
        <v>206</v>
      </c>
      <c r="N67" s="11" t="s">
        <v>207</v>
      </c>
      <c r="O67" s="12" t="s">
        <v>45</v>
      </c>
      <c r="P67" s="11"/>
      <c r="Q67" s="11"/>
      <c r="R67" s="14"/>
    </row>
    <row r="68" spans="1:18" ht="30" customHeight="1" x14ac:dyDescent="0.3">
      <c r="A68" s="7" t="str">
        <f t="shared" si="1"/>
        <v>Low Priority/Approved by PO</v>
      </c>
      <c r="B68" s="8" t="s">
        <v>96</v>
      </c>
      <c r="C68" s="9" t="s">
        <v>35</v>
      </c>
      <c r="D68" s="8" t="str">
        <f t="shared" si="2"/>
        <v>EXT_PTCS_66</v>
      </c>
      <c r="E68" s="10">
        <v>46234</v>
      </c>
      <c r="F68" s="8" t="s">
        <v>201</v>
      </c>
      <c r="G68" s="8" t="s">
        <v>202</v>
      </c>
      <c r="H68" s="8" t="s">
        <v>38</v>
      </c>
      <c r="I68" s="8" t="s">
        <v>46</v>
      </c>
      <c r="J68" s="11" t="s">
        <v>208</v>
      </c>
      <c r="K68" s="11" t="s">
        <v>71</v>
      </c>
      <c r="L68" s="11" t="s">
        <v>205</v>
      </c>
      <c r="M68" s="11" t="s">
        <v>206</v>
      </c>
      <c r="N68" s="11" t="s">
        <v>209</v>
      </c>
      <c r="O68" s="12" t="s">
        <v>45</v>
      </c>
      <c r="P68" s="11"/>
      <c r="Q68" s="11"/>
      <c r="R68" s="14"/>
    </row>
    <row r="69" spans="1:18" ht="30" customHeight="1" x14ac:dyDescent="0.3">
      <c r="A69" s="7" t="str">
        <f t="shared" si="1"/>
        <v>Low Priority/Approved by PO</v>
      </c>
      <c r="B69" s="8" t="s">
        <v>96</v>
      </c>
      <c r="C69" s="9" t="s">
        <v>35</v>
      </c>
      <c r="D69" s="8" t="str">
        <f t="shared" si="2"/>
        <v>EXT_PTCS_67</v>
      </c>
      <c r="E69" s="10">
        <v>46234</v>
      </c>
      <c r="F69" s="8" t="s">
        <v>210</v>
      </c>
      <c r="G69" s="8" t="s">
        <v>211</v>
      </c>
      <c r="H69" s="8" t="s">
        <v>38</v>
      </c>
      <c r="I69" s="8" t="s">
        <v>39</v>
      </c>
      <c r="J69" s="11" t="s">
        <v>212</v>
      </c>
      <c r="K69" s="11" t="s">
        <v>71</v>
      </c>
      <c r="L69" s="11" t="s">
        <v>213</v>
      </c>
      <c r="M69" s="11" t="s">
        <v>214</v>
      </c>
      <c r="N69" s="11" t="s">
        <v>215</v>
      </c>
      <c r="O69" s="12" t="s">
        <v>45</v>
      </c>
      <c r="P69" s="11"/>
      <c r="Q69" s="11"/>
      <c r="R69" s="14"/>
    </row>
    <row r="70" spans="1:18" ht="30" customHeight="1" x14ac:dyDescent="0.3">
      <c r="A70" s="7" t="str">
        <f t="shared" ref="A70:A108" si="3">$B70&amp;"/"&amp;$C70</f>
        <v>Low Priority/Approved by PO</v>
      </c>
      <c r="B70" s="8" t="s">
        <v>96</v>
      </c>
      <c r="C70" s="9" t="s">
        <v>35</v>
      </c>
      <c r="D70" s="8" t="str">
        <f t="shared" si="2"/>
        <v>EXT_PTCS_68</v>
      </c>
      <c r="E70" s="10">
        <v>46234</v>
      </c>
      <c r="F70" s="8" t="s">
        <v>210</v>
      </c>
      <c r="G70" s="8" t="s">
        <v>216</v>
      </c>
      <c r="H70" s="8" t="s">
        <v>38</v>
      </c>
      <c r="I70" s="8" t="s">
        <v>39</v>
      </c>
      <c r="J70" s="11" t="s">
        <v>212</v>
      </c>
      <c r="K70" s="11" t="s">
        <v>71</v>
      </c>
      <c r="L70" s="11" t="s">
        <v>217</v>
      </c>
      <c r="M70" s="11" t="s">
        <v>218</v>
      </c>
      <c r="N70" s="11" t="s">
        <v>219</v>
      </c>
      <c r="O70" s="12" t="s">
        <v>45</v>
      </c>
      <c r="P70" s="11"/>
      <c r="Q70" s="11"/>
      <c r="R70" s="14"/>
    </row>
    <row r="71" spans="1:18" ht="30" customHeight="1" x14ac:dyDescent="0.3">
      <c r="A71" s="7" t="str">
        <f t="shared" si="3"/>
        <v>Low Priority/Approved by PO</v>
      </c>
      <c r="B71" s="8" t="s">
        <v>96</v>
      </c>
      <c r="C71" s="9" t="s">
        <v>35</v>
      </c>
      <c r="D71" s="8" t="str">
        <f t="shared" si="2"/>
        <v>EXT_PTCS_69</v>
      </c>
      <c r="E71" s="10">
        <v>46234</v>
      </c>
      <c r="F71" s="8" t="s">
        <v>210</v>
      </c>
      <c r="G71" s="8" t="s">
        <v>220</v>
      </c>
      <c r="H71" s="8" t="s">
        <v>38</v>
      </c>
      <c r="I71" s="8" t="s">
        <v>39</v>
      </c>
      <c r="J71" s="11" t="s">
        <v>212</v>
      </c>
      <c r="K71" s="11" t="s">
        <v>71</v>
      </c>
      <c r="L71" s="11" t="s">
        <v>221</v>
      </c>
      <c r="M71" s="11" t="s">
        <v>222</v>
      </c>
      <c r="N71" s="11" t="s">
        <v>223</v>
      </c>
      <c r="O71" s="12" t="s">
        <v>45</v>
      </c>
      <c r="P71" s="18"/>
      <c r="Q71" s="18"/>
      <c r="R71" s="19"/>
    </row>
    <row r="72" spans="1:18" ht="30" customHeight="1" x14ac:dyDescent="0.3">
      <c r="A72" s="7" t="str">
        <f t="shared" si="3"/>
        <v>Low Priority/Approved by PO</v>
      </c>
      <c r="B72" s="8" t="s">
        <v>96</v>
      </c>
      <c r="C72" s="9" t="s">
        <v>35</v>
      </c>
      <c r="D72" s="8" t="str">
        <f t="shared" si="2"/>
        <v>EXT_PTCS_70</v>
      </c>
      <c r="E72" s="10">
        <v>46234</v>
      </c>
      <c r="F72" s="8" t="s">
        <v>210</v>
      </c>
      <c r="G72" s="8" t="s">
        <v>224</v>
      </c>
      <c r="H72" s="8" t="s">
        <v>38</v>
      </c>
      <c r="I72" s="8" t="s">
        <v>46</v>
      </c>
      <c r="J72" s="11" t="s">
        <v>212</v>
      </c>
      <c r="K72" s="11" t="s">
        <v>71</v>
      </c>
      <c r="L72" s="11" t="s">
        <v>213</v>
      </c>
      <c r="M72" s="11" t="s">
        <v>214</v>
      </c>
      <c r="N72" s="11" t="s">
        <v>215</v>
      </c>
      <c r="O72" s="12" t="s">
        <v>45</v>
      </c>
      <c r="P72" s="11"/>
      <c r="Q72" s="11"/>
      <c r="R72" s="14"/>
    </row>
    <row r="73" spans="1:18" ht="30" customHeight="1" x14ac:dyDescent="0.3">
      <c r="A73" s="7" t="str">
        <f t="shared" si="3"/>
        <v>Low Priority/Approved by PO</v>
      </c>
      <c r="B73" s="8" t="s">
        <v>96</v>
      </c>
      <c r="C73" s="9" t="s">
        <v>35</v>
      </c>
      <c r="D73" s="8" t="str">
        <f t="shared" si="2"/>
        <v>EXT_PTCS_71</v>
      </c>
      <c r="E73" s="10">
        <v>46234</v>
      </c>
      <c r="F73" s="8" t="s">
        <v>210</v>
      </c>
      <c r="G73" s="8" t="s">
        <v>225</v>
      </c>
      <c r="H73" s="8" t="s">
        <v>38</v>
      </c>
      <c r="I73" s="8" t="s">
        <v>46</v>
      </c>
      <c r="J73" s="11" t="s">
        <v>212</v>
      </c>
      <c r="K73" s="11" t="s">
        <v>71</v>
      </c>
      <c r="L73" s="11" t="s">
        <v>217</v>
      </c>
      <c r="M73" s="11" t="s">
        <v>218</v>
      </c>
      <c r="N73" s="11" t="s">
        <v>219</v>
      </c>
      <c r="O73" s="12" t="s">
        <v>45</v>
      </c>
      <c r="P73" s="11"/>
      <c r="Q73" s="11"/>
      <c r="R73" s="14"/>
    </row>
    <row r="74" spans="1:18" ht="30" customHeight="1" x14ac:dyDescent="0.3">
      <c r="A74" s="7" t="str">
        <f t="shared" si="3"/>
        <v>Low Priority/Approved by PO</v>
      </c>
      <c r="B74" s="8" t="s">
        <v>96</v>
      </c>
      <c r="C74" s="9" t="s">
        <v>35</v>
      </c>
      <c r="D74" s="8" t="str">
        <f t="shared" si="2"/>
        <v>EXT_PTCS_72</v>
      </c>
      <c r="E74" s="10">
        <v>46234</v>
      </c>
      <c r="F74" s="8" t="s">
        <v>210</v>
      </c>
      <c r="G74" s="8" t="s">
        <v>226</v>
      </c>
      <c r="H74" s="8" t="s">
        <v>38</v>
      </c>
      <c r="I74" s="8" t="s">
        <v>46</v>
      </c>
      <c r="J74" s="11" t="s">
        <v>212</v>
      </c>
      <c r="K74" s="11" t="s">
        <v>71</v>
      </c>
      <c r="L74" s="11" t="s">
        <v>221</v>
      </c>
      <c r="M74" s="11" t="s">
        <v>222</v>
      </c>
      <c r="N74" s="11" t="s">
        <v>223</v>
      </c>
      <c r="O74" s="12" t="s">
        <v>45</v>
      </c>
      <c r="P74" s="11"/>
      <c r="Q74" s="11"/>
      <c r="R74" s="19"/>
    </row>
    <row r="75" spans="1:18" ht="30" customHeight="1" x14ac:dyDescent="0.3">
      <c r="A75" s="7" t="str">
        <f t="shared" si="3"/>
        <v>Low Priority/Approved by PO</v>
      </c>
      <c r="B75" s="8" t="s">
        <v>96</v>
      </c>
      <c r="C75" s="9" t="s">
        <v>35</v>
      </c>
      <c r="D75" s="8" t="str">
        <f t="shared" si="2"/>
        <v>EXT_PTCS_73</v>
      </c>
      <c r="E75" s="10">
        <v>46234</v>
      </c>
      <c r="F75" s="8" t="s">
        <v>227</v>
      </c>
      <c r="G75" s="8" t="s">
        <v>228</v>
      </c>
      <c r="H75" s="8" t="s">
        <v>38</v>
      </c>
      <c r="I75" s="8" t="s">
        <v>39</v>
      </c>
      <c r="J75" s="11" t="s">
        <v>229</v>
      </c>
      <c r="K75" s="11" t="s">
        <v>71</v>
      </c>
      <c r="L75" s="11" t="s">
        <v>230</v>
      </c>
      <c r="M75" s="11" t="s">
        <v>231</v>
      </c>
      <c r="N75" s="11" t="s">
        <v>232</v>
      </c>
      <c r="O75" s="12" t="s">
        <v>45</v>
      </c>
      <c r="P75" s="11"/>
      <c r="Q75" s="11"/>
      <c r="R75" s="14"/>
    </row>
    <row r="76" spans="1:18" ht="30" customHeight="1" x14ac:dyDescent="0.3">
      <c r="A76" s="7" t="str">
        <f t="shared" si="3"/>
        <v>Low Priority/Approved by PO</v>
      </c>
      <c r="B76" s="8" t="s">
        <v>96</v>
      </c>
      <c r="C76" s="9" t="s">
        <v>35</v>
      </c>
      <c r="D76" s="8" t="str">
        <f t="shared" si="2"/>
        <v>EXT_PTCS_74</v>
      </c>
      <c r="E76" s="10">
        <v>46234</v>
      </c>
      <c r="F76" s="8" t="s">
        <v>233</v>
      </c>
      <c r="G76" s="8" t="s">
        <v>234</v>
      </c>
      <c r="H76" s="8" t="s">
        <v>38</v>
      </c>
      <c r="I76" s="8" t="s">
        <v>39</v>
      </c>
      <c r="J76" s="11" t="s">
        <v>235</v>
      </c>
      <c r="K76" s="11" t="s">
        <v>71</v>
      </c>
      <c r="L76" s="11" t="s">
        <v>236</v>
      </c>
      <c r="M76" s="11" t="s">
        <v>237</v>
      </c>
      <c r="N76" s="11" t="s">
        <v>238</v>
      </c>
      <c r="O76" s="12" t="s">
        <v>45</v>
      </c>
      <c r="P76" s="20"/>
      <c r="Q76" s="20"/>
      <c r="R76" s="20"/>
    </row>
    <row r="77" spans="1:18" ht="30" customHeight="1" x14ac:dyDescent="0.3">
      <c r="A77" s="7" t="str">
        <f t="shared" si="3"/>
        <v>Low Priority/Approved by PO</v>
      </c>
      <c r="B77" s="8" t="s">
        <v>96</v>
      </c>
      <c r="C77" s="9" t="s">
        <v>35</v>
      </c>
      <c r="D77" s="8" t="str">
        <f t="shared" si="2"/>
        <v>EXT_PTCS_75</v>
      </c>
      <c r="E77" s="10">
        <v>46234</v>
      </c>
      <c r="F77" s="8" t="s">
        <v>233</v>
      </c>
      <c r="G77" s="8" t="s">
        <v>239</v>
      </c>
      <c r="H77" s="8" t="s">
        <v>38</v>
      </c>
      <c r="I77" s="8" t="s">
        <v>39</v>
      </c>
      <c r="J77" s="11" t="s">
        <v>240</v>
      </c>
      <c r="K77" s="11" t="s">
        <v>71</v>
      </c>
      <c r="L77" s="11" t="s">
        <v>241</v>
      </c>
      <c r="M77" s="11" t="s">
        <v>242</v>
      </c>
      <c r="N77" s="11" t="s">
        <v>243</v>
      </c>
      <c r="O77" s="12" t="s">
        <v>45</v>
      </c>
      <c r="P77" s="20"/>
      <c r="Q77" s="20"/>
      <c r="R77" s="20"/>
    </row>
    <row r="78" spans="1:18" ht="30" customHeight="1" x14ac:dyDescent="0.3">
      <c r="A78" s="7" t="str">
        <f t="shared" si="3"/>
        <v>Low Priority/Approved by PO</v>
      </c>
      <c r="B78" s="8" t="s">
        <v>96</v>
      </c>
      <c r="C78" s="9" t="s">
        <v>35</v>
      </c>
      <c r="D78" s="8" t="str">
        <f t="shared" si="2"/>
        <v>EXT_PTCS_76</v>
      </c>
      <c r="E78" s="10">
        <v>46234</v>
      </c>
      <c r="F78" s="8" t="s">
        <v>233</v>
      </c>
      <c r="G78" s="8" t="s">
        <v>244</v>
      </c>
      <c r="H78" s="8" t="s">
        <v>38</v>
      </c>
      <c r="I78" s="8" t="s">
        <v>39</v>
      </c>
      <c r="J78" s="11" t="s">
        <v>245</v>
      </c>
      <c r="K78" s="11" t="s">
        <v>71</v>
      </c>
      <c r="L78" s="11" t="s">
        <v>246</v>
      </c>
      <c r="M78" s="11" t="s">
        <v>247</v>
      </c>
      <c r="N78" s="11" t="s">
        <v>248</v>
      </c>
      <c r="O78" s="12" t="s">
        <v>45</v>
      </c>
      <c r="P78" s="20"/>
      <c r="Q78" s="20"/>
      <c r="R78" s="20"/>
    </row>
    <row r="79" spans="1:18" ht="30" customHeight="1" x14ac:dyDescent="0.3">
      <c r="A79" s="7" t="str">
        <f t="shared" si="3"/>
        <v>Low Priority/Approved by PO</v>
      </c>
      <c r="B79" s="8" t="s">
        <v>96</v>
      </c>
      <c r="C79" s="9" t="s">
        <v>35</v>
      </c>
      <c r="D79" s="8" t="str">
        <f t="shared" si="2"/>
        <v>EXT_PTCS_77</v>
      </c>
      <c r="E79" s="10">
        <v>46234</v>
      </c>
      <c r="F79" s="8" t="s">
        <v>233</v>
      </c>
      <c r="G79" s="8" t="s">
        <v>249</v>
      </c>
      <c r="H79" s="8" t="s">
        <v>38</v>
      </c>
      <c r="I79" s="8" t="s">
        <v>39</v>
      </c>
      <c r="J79" s="11" t="s">
        <v>250</v>
      </c>
      <c r="K79" s="11" t="s">
        <v>71</v>
      </c>
      <c r="L79" s="11" t="s">
        <v>251</v>
      </c>
      <c r="M79" s="11" t="s">
        <v>252</v>
      </c>
      <c r="N79" s="11" t="s">
        <v>253</v>
      </c>
      <c r="O79" s="12" t="s">
        <v>45</v>
      </c>
      <c r="P79" s="20"/>
      <c r="Q79" s="20"/>
      <c r="R79" s="20"/>
    </row>
    <row r="80" spans="1:18" ht="30" customHeight="1" x14ac:dyDescent="0.3">
      <c r="A80" s="7" t="str">
        <f t="shared" si="3"/>
        <v>Low Priority/Approved by PO</v>
      </c>
      <c r="B80" s="8" t="s">
        <v>96</v>
      </c>
      <c r="C80" s="9" t="s">
        <v>35</v>
      </c>
      <c r="D80" s="8" t="str">
        <f t="shared" si="2"/>
        <v>EXT_PTCS_78</v>
      </c>
      <c r="E80" s="10">
        <v>46234</v>
      </c>
      <c r="F80" s="8" t="s">
        <v>233</v>
      </c>
      <c r="G80" s="8" t="s">
        <v>254</v>
      </c>
      <c r="H80" s="8" t="s">
        <v>38</v>
      </c>
      <c r="I80" s="8" t="s">
        <v>39</v>
      </c>
      <c r="J80" s="11" t="s">
        <v>255</v>
      </c>
      <c r="K80" s="11" t="s">
        <v>71</v>
      </c>
      <c r="L80" s="11" t="s">
        <v>256</v>
      </c>
      <c r="M80" s="11" t="s">
        <v>257</v>
      </c>
      <c r="N80" s="11" t="s">
        <v>258</v>
      </c>
      <c r="O80" s="12" t="s">
        <v>45</v>
      </c>
      <c r="P80" s="11"/>
      <c r="Q80" s="11"/>
      <c r="R80" s="19"/>
    </row>
    <row r="81" spans="1:18" ht="30" customHeight="1" x14ac:dyDescent="0.3">
      <c r="A81" s="7" t="str">
        <f t="shared" si="3"/>
        <v>Low Priority/Approved by PO</v>
      </c>
      <c r="B81" s="8" t="s">
        <v>96</v>
      </c>
      <c r="C81" s="9" t="s">
        <v>35</v>
      </c>
      <c r="D81" s="8" t="str">
        <f t="shared" si="2"/>
        <v>EXT_PTCS_79</v>
      </c>
      <c r="E81" s="10">
        <v>46234</v>
      </c>
      <c r="F81" s="8" t="s">
        <v>233</v>
      </c>
      <c r="G81" s="8" t="s">
        <v>259</v>
      </c>
      <c r="H81" s="8" t="s">
        <v>38</v>
      </c>
      <c r="I81" s="8" t="s">
        <v>39</v>
      </c>
      <c r="J81" s="11" t="s">
        <v>229</v>
      </c>
      <c r="K81" s="11" t="s">
        <v>71</v>
      </c>
      <c r="L81" s="11" t="s">
        <v>260</v>
      </c>
      <c r="M81" s="11" t="s">
        <v>261</v>
      </c>
      <c r="N81" s="11" t="s">
        <v>262</v>
      </c>
      <c r="O81" s="12" t="s">
        <v>45</v>
      </c>
      <c r="P81" s="20"/>
      <c r="Q81" s="20"/>
      <c r="R81" s="20"/>
    </row>
    <row r="82" spans="1:18" ht="30" customHeight="1" x14ac:dyDescent="0.3">
      <c r="A82" s="7" t="str">
        <f t="shared" si="3"/>
        <v>Low Priority/Approved by PO</v>
      </c>
      <c r="B82" s="8" t="s">
        <v>96</v>
      </c>
      <c r="C82" s="9" t="s">
        <v>35</v>
      </c>
      <c r="D82" s="8" t="str">
        <f t="shared" si="2"/>
        <v>EXT_PTCS_80</v>
      </c>
      <c r="E82" s="10">
        <v>46234</v>
      </c>
      <c r="F82" s="8" t="s">
        <v>233</v>
      </c>
      <c r="G82" s="8" t="s">
        <v>263</v>
      </c>
      <c r="H82" s="8" t="s">
        <v>38</v>
      </c>
      <c r="I82" s="8" t="s">
        <v>39</v>
      </c>
      <c r="J82" s="11" t="s">
        <v>229</v>
      </c>
      <c r="K82" s="11" t="s">
        <v>71</v>
      </c>
      <c r="L82" s="11" t="s">
        <v>264</v>
      </c>
      <c r="M82" s="11" t="s">
        <v>265</v>
      </c>
      <c r="N82" s="11" t="s">
        <v>266</v>
      </c>
      <c r="O82" s="12" t="s">
        <v>45</v>
      </c>
      <c r="P82" s="11"/>
      <c r="Q82" s="11"/>
      <c r="R82" s="14"/>
    </row>
    <row r="83" spans="1:18" ht="30" customHeight="1" x14ac:dyDescent="0.3">
      <c r="A83" s="7" t="str">
        <f t="shared" si="3"/>
        <v>Low Priority/Approved by PO</v>
      </c>
      <c r="B83" s="8" t="s">
        <v>96</v>
      </c>
      <c r="C83" s="9" t="s">
        <v>35</v>
      </c>
      <c r="D83" s="8" t="str">
        <f t="shared" si="2"/>
        <v>EXT_PTCS_81</v>
      </c>
      <c r="E83" s="10">
        <v>46234</v>
      </c>
      <c r="F83" s="8" t="s">
        <v>227</v>
      </c>
      <c r="G83" s="8" t="s">
        <v>228</v>
      </c>
      <c r="H83" s="8" t="s">
        <v>38</v>
      </c>
      <c r="I83" s="8" t="s">
        <v>46</v>
      </c>
      <c r="J83" s="11" t="s">
        <v>267</v>
      </c>
      <c r="K83" s="11" t="s">
        <v>71</v>
      </c>
      <c r="L83" s="11" t="s">
        <v>230</v>
      </c>
      <c r="M83" s="11" t="s">
        <v>268</v>
      </c>
      <c r="N83" s="11" t="s">
        <v>269</v>
      </c>
      <c r="O83" s="12" t="s">
        <v>45</v>
      </c>
      <c r="P83" s="11"/>
      <c r="Q83" s="11"/>
      <c r="R83" s="19"/>
    </row>
    <row r="84" spans="1:18" ht="30" customHeight="1" x14ac:dyDescent="0.3">
      <c r="A84" s="7" t="str">
        <f t="shared" si="3"/>
        <v>Low Priority/Approved by PO</v>
      </c>
      <c r="B84" s="8" t="s">
        <v>96</v>
      </c>
      <c r="C84" s="9" t="s">
        <v>35</v>
      </c>
      <c r="D84" s="8" t="str">
        <f t="shared" si="2"/>
        <v>EXT_PTCS_82</v>
      </c>
      <c r="E84" s="10">
        <v>46234</v>
      </c>
      <c r="F84" s="8" t="s">
        <v>233</v>
      </c>
      <c r="G84" s="8" t="s">
        <v>234</v>
      </c>
      <c r="H84" s="8" t="s">
        <v>38</v>
      </c>
      <c r="I84" s="8" t="s">
        <v>46</v>
      </c>
      <c r="J84" s="11" t="s">
        <v>270</v>
      </c>
      <c r="K84" s="11" t="s">
        <v>71</v>
      </c>
      <c r="L84" s="11" t="s">
        <v>236</v>
      </c>
      <c r="M84" s="11" t="s">
        <v>271</v>
      </c>
      <c r="N84" s="11" t="s">
        <v>238</v>
      </c>
      <c r="O84" s="12" t="s">
        <v>45</v>
      </c>
      <c r="P84" s="20"/>
      <c r="Q84" s="20"/>
      <c r="R84" s="20"/>
    </row>
    <row r="85" spans="1:18" ht="30" customHeight="1" x14ac:dyDescent="0.3">
      <c r="A85" s="7" t="str">
        <f t="shared" si="3"/>
        <v>Low Priority/Approved by PO</v>
      </c>
      <c r="B85" s="8" t="s">
        <v>96</v>
      </c>
      <c r="C85" s="9" t="s">
        <v>35</v>
      </c>
      <c r="D85" s="8" t="str">
        <f t="shared" si="2"/>
        <v>EXT_PTCS_83</v>
      </c>
      <c r="E85" s="10">
        <v>46234</v>
      </c>
      <c r="F85" s="8" t="s">
        <v>233</v>
      </c>
      <c r="G85" s="8" t="s">
        <v>239</v>
      </c>
      <c r="H85" s="8" t="s">
        <v>38</v>
      </c>
      <c r="I85" s="8" t="s">
        <v>46</v>
      </c>
      <c r="J85" s="11" t="s">
        <v>272</v>
      </c>
      <c r="K85" s="11" t="s">
        <v>71</v>
      </c>
      <c r="L85" s="11" t="s">
        <v>241</v>
      </c>
      <c r="M85" s="11" t="s">
        <v>273</v>
      </c>
      <c r="N85" s="11" t="s">
        <v>243</v>
      </c>
      <c r="O85" s="12" t="s">
        <v>45</v>
      </c>
      <c r="P85" s="20"/>
      <c r="Q85" s="20"/>
      <c r="R85" s="20"/>
    </row>
    <row r="86" spans="1:18" ht="30" customHeight="1" x14ac:dyDescent="0.3">
      <c r="A86" s="7" t="str">
        <f t="shared" si="3"/>
        <v>Low Priority/Approved by PO</v>
      </c>
      <c r="B86" s="8" t="s">
        <v>96</v>
      </c>
      <c r="C86" s="9" t="s">
        <v>35</v>
      </c>
      <c r="D86" s="8" t="str">
        <f t="shared" si="2"/>
        <v>EXT_PTCS_84</v>
      </c>
      <c r="E86" s="10">
        <v>46234</v>
      </c>
      <c r="F86" s="8" t="s">
        <v>233</v>
      </c>
      <c r="G86" s="8" t="s">
        <v>244</v>
      </c>
      <c r="H86" s="8" t="s">
        <v>38</v>
      </c>
      <c r="I86" s="8" t="s">
        <v>46</v>
      </c>
      <c r="J86" s="11" t="s">
        <v>274</v>
      </c>
      <c r="K86" s="11" t="s">
        <v>71</v>
      </c>
      <c r="L86" s="11" t="s">
        <v>246</v>
      </c>
      <c r="M86" s="11" t="s">
        <v>275</v>
      </c>
      <c r="N86" s="11" t="s">
        <v>248</v>
      </c>
      <c r="O86" s="12" t="s">
        <v>45</v>
      </c>
      <c r="P86" s="20"/>
      <c r="Q86" s="20"/>
      <c r="R86" s="20"/>
    </row>
    <row r="87" spans="1:18" ht="30" customHeight="1" x14ac:dyDescent="0.3">
      <c r="A87" s="7" t="str">
        <f t="shared" si="3"/>
        <v>Low Priority/Approved by PO</v>
      </c>
      <c r="B87" s="8" t="s">
        <v>96</v>
      </c>
      <c r="C87" s="9" t="s">
        <v>35</v>
      </c>
      <c r="D87" s="8" t="str">
        <f t="shared" si="2"/>
        <v>EXT_PTCS_85</v>
      </c>
      <c r="E87" s="10">
        <v>46234</v>
      </c>
      <c r="F87" s="8" t="s">
        <v>233</v>
      </c>
      <c r="G87" s="8" t="s">
        <v>249</v>
      </c>
      <c r="H87" s="8" t="s">
        <v>38</v>
      </c>
      <c r="I87" s="8" t="s">
        <v>46</v>
      </c>
      <c r="J87" s="11" t="s">
        <v>276</v>
      </c>
      <c r="K87" s="11" t="s">
        <v>71</v>
      </c>
      <c r="L87" s="11" t="s">
        <v>251</v>
      </c>
      <c r="M87" s="11" t="s">
        <v>277</v>
      </c>
      <c r="N87" s="11" t="s">
        <v>253</v>
      </c>
      <c r="O87" s="12" t="s">
        <v>45</v>
      </c>
      <c r="P87" s="20"/>
      <c r="Q87" s="20"/>
      <c r="R87" s="20"/>
    </row>
    <row r="88" spans="1:18" ht="30" customHeight="1" x14ac:dyDescent="0.3">
      <c r="A88" s="7" t="str">
        <f t="shared" si="3"/>
        <v>Low Priority/Approved by PO</v>
      </c>
      <c r="B88" s="8" t="s">
        <v>96</v>
      </c>
      <c r="C88" s="9" t="s">
        <v>35</v>
      </c>
      <c r="D88" s="8" t="str">
        <f t="shared" si="2"/>
        <v>EXT_PTCS_86</v>
      </c>
      <c r="E88" s="10">
        <v>46234</v>
      </c>
      <c r="F88" s="8" t="s">
        <v>233</v>
      </c>
      <c r="G88" s="8" t="s">
        <v>254</v>
      </c>
      <c r="H88" s="8" t="s">
        <v>38</v>
      </c>
      <c r="I88" s="8" t="s">
        <v>46</v>
      </c>
      <c r="J88" s="11" t="s">
        <v>278</v>
      </c>
      <c r="K88" s="11" t="s">
        <v>71</v>
      </c>
      <c r="L88" s="11" t="s">
        <v>256</v>
      </c>
      <c r="M88" s="11" t="s">
        <v>279</v>
      </c>
      <c r="N88" s="11" t="s">
        <v>258</v>
      </c>
      <c r="O88" s="12" t="s">
        <v>45</v>
      </c>
      <c r="P88" s="11"/>
      <c r="Q88" s="11"/>
      <c r="R88" s="19"/>
    </row>
    <row r="89" spans="1:18" ht="30" customHeight="1" x14ac:dyDescent="0.3">
      <c r="A89" s="7" t="str">
        <f t="shared" si="3"/>
        <v>Low Priority/Approved by PO</v>
      </c>
      <c r="B89" s="8" t="s">
        <v>96</v>
      </c>
      <c r="C89" s="9" t="s">
        <v>35</v>
      </c>
      <c r="D89" s="8" t="str">
        <f t="shared" si="2"/>
        <v>EXT_PTCS_87</v>
      </c>
      <c r="E89" s="10">
        <v>46234</v>
      </c>
      <c r="F89" s="8" t="s">
        <v>233</v>
      </c>
      <c r="G89" s="8" t="s">
        <v>259</v>
      </c>
      <c r="H89" s="8" t="s">
        <v>38</v>
      </c>
      <c r="I89" s="8" t="s">
        <v>46</v>
      </c>
      <c r="J89" s="11" t="s">
        <v>267</v>
      </c>
      <c r="K89" s="11" t="s">
        <v>71</v>
      </c>
      <c r="L89" s="11" t="s">
        <v>260</v>
      </c>
      <c r="M89" s="11" t="s">
        <v>280</v>
      </c>
      <c r="N89" s="11" t="s">
        <v>281</v>
      </c>
      <c r="O89" s="12" t="s">
        <v>45</v>
      </c>
      <c r="P89" s="20"/>
      <c r="Q89" s="20"/>
      <c r="R89" s="20"/>
    </row>
    <row r="90" spans="1:18" ht="30" customHeight="1" x14ac:dyDescent="0.3">
      <c r="A90" s="7" t="str">
        <f t="shared" si="3"/>
        <v>Low Priority/Approved by PO</v>
      </c>
      <c r="B90" s="8" t="s">
        <v>96</v>
      </c>
      <c r="C90" s="9" t="s">
        <v>35</v>
      </c>
      <c r="D90" s="8" t="str">
        <f t="shared" si="2"/>
        <v>EXT_PTCS_88</v>
      </c>
      <c r="E90" s="10">
        <v>46234</v>
      </c>
      <c r="F90" s="8" t="s">
        <v>233</v>
      </c>
      <c r="G90" s="8" t="s">
        <v>263</v>
      </c>
      <c r="H90" s="8" t="s">
        <v>38</v>
      </c>
      <c r="I90" s="8" t="s">
        <v>46</v>
      </c>
      <c r="J90" s="11" t="s">
        <v>267</v>
      </c>
      <c r="K90" s="11" t="s">
        <v>71</v>
      </c>
      <c r="L90" s="11" t="s">
        <v>264</v>
      </c>
      <c r="M90" s="11" t="s">
        <v>282</v>
      </c>
      <c r="N90" s="11" t="s">
        <v>266</v>
      </c>
      <c r="O90" s="12" t="s">
        <v>45</v>
      </c>
      <c r="P90" s="11"/>
      <c r="Q90" s="11"/>
      <c r="R90" s="14"/>
    </row>
    <row r="91" spans="1:18" ht="30" customHeight="1" x14ac:dyDescent="0.3">
      <c r="A91" s="7" t="str">
        <f t="shared" si="3"/>
        <v>Low Priority/Approved by PO</v>
      </c>
      <c r="B91" s="8" t="s">
        <v>96</v>
      </c>
      <c r="C91" s="9" t="s">
        <v>35</v>
      </c>
      <c r="D91" s="8" t="str">
        <f t="shared" si="2"/>
        <v>EXT_PTCS_89</v>
      </c>
      <c r="E91" s="10">
        <v>46234</v>
      </c>
      <c r="F91" s="8" t="s">
        <v>283</v>
      </c>
      <c r="G91" s="8" t="s">
        <v>284</v>
      </c>
      <c r="H91" s="8" t="s">
        <v>38</v>
      </c>
      <c r="I91" s="8" t="s">
        <v>39</v>
      </c>
      <c r="J91" s="11" t="s">
        <v>285</v>
      </c>
      <c r="K91" s="11" t="s">
        <v>71</v>
      </c>
      <c r="L91" s="11" t="s">
        <v>286</v>
      </c>
      <c r="M91" s="11" t="s">
        <v>287</v>
      </c>
      <c r="N91" s="11" t="s">
        <v>288</v>
      </c>
      <c r="O91" s="12" t="s">
        <v>45</v>
      </c>
      <c r="P91" s="11"/>
      <c r="Q91" s="11"/>
      <c r="R91" s="14"/>
    </row>
    <row r="92" spans="1:18" ht="30" customHeight="1" x14ac:dyDescent="0.3">
      <c r="A92" s="7" t="str">
        <f t="shared" si="3"/>
        <v>Low Priority/Approved by PO</v>
      </c>
      <c r="B92" s="8" t="s">
        <v>96</v>
      </c>
      <c r="C92" s="9" t="s">
        <v>35</v>
      </c>
      <c r="D92" s="8" t="str">
        <f t="shared" si="2"/>
        <v>EXT_PTCS_90</v>
      </c>
      <c r="E92" s="10">
        <v>46234</v>
      </c>
      <c r="F92" s="8" t="s">
        <v>283</v>
      </c>
      <c r="G92" s="8" t="s">
        <v>289</v>
      </c>
      <c r="H92" s="8" t="s">
        <v>38</v>
      </c>
      <c r="I92" s="8" t="s">
        <v>39</v>
      </c>
      <c r="J92" s="11" t="s">
        <v>290</v>
      </c>
      <c r="K92" s="11" t="s">
        <v>71</v>
      </c>
      <c r="L92" s="11" t="s">
        <v>291</v>
      </c>
      <c r="M92" s="11" t="s">
        <v>292</v>
      </c>
      <c r="N92" s="11" t="s">
        <v>293</v>
      </c>
      <c r="O92" s="12" t="s">
        <v>45</v>
      </c>
      <c r="P92" s="11"/>
      <c r="Q92" s="11"/>
      <c r="R92" s="14"/>
    </row>
    <row r="93" spans="1:18" ht="30" customHeight="1" x14ac:dyDescent="0.3">
      <c r="A93" s="7" t="str">
        <f t="shared" si="3"/>
        <v>Low Priority/Approved by PO</v>
      </c>
      <c r="B93" s="8" t="s">
        <v>96</v>
      </c>
      <c r="C93" s="9" t="s">
        <v>35</v>
      </c>
      <c r="D93" s="8" t="str">
        <f t="shared" si="2"/>
        <v>EXT_PTCS_91</v>
      </c>
      <c r="E93" s="10">
        <v>46234</v>
      </c>
      <c r="F93" s="8" t="s">
        <v>283</v>
      </c>
      <c r="G93" s="8" t="s">
        <v>294</v>
      </c>
      <c r="H93" s="8" t="s">
        <v>38</v>
      </c>
      <c r="I93" s="8" t="s">
        <v>39</v>
      </c>
      <c r="J93" s="11" t="s">
        <v>295</v>
      </c>
      <c r="K93" s="11" t="s">
        <v>71</v>
      </c>
      <c r="L93" s="11" t="s">
        <v>296</v>
      </c>
      <c r="M93" s="11" t="s">
        <v>297</v>
      </c>
      <c r="N93" s="11" t="s">
        <v>298</v>
      </c>
      <c r="O93" s="12" t="s">
        <v>45</v>
      </c>
      <c r="P93" s="11"/>
      <c r="Q93" s="11"/>
      <c r="R93" s="14"/>
    </row>
    <row r="94" spans="1:18" ht="30" customHeight="1" x14ac:dyDescent="0.3">
      <c r="A94" s="7" t="str">
        <f t="shared" si="3"/>
        <v>Low Priority/Approved by PO</v>
      </c>
      <c r="B94" s="8" t="s">
        <v>96</v>
      </c>
      <c r="C94" s="9" t="s">
        <v>35</v>
      </c>
      <c r="D94" s="8" t="str">
        <f t="shared" si="2"/>
        <v>EXT_PTCS_92</v>
      </c>
      <c r="E94" s="10">
        <v>46234</v>
      </c>
      <c r="F94" s="8" t="s">
        <v>283</v>
      </c>
      <c r="G94" s="8" t="s">
        <v>299</v>
      </c>
      <c r="H94" s="8" t="s">
        <v>38</v>
      </c>
      <c r="I94" s="8" t="s">
        <v>39</v>
      </c>
      <c r="J94" s="11" t="s">
        <v>300</v>
      </c>
      <c r="K94" s="11" t="s">
        <v>71</v>
      </c>
      <c r="L94" s="11" t="s">
        <v>301</v>
      </c>
      <c r="M94" s="11" t="s">
        <v>302</v>
      </c>
      <c r="N94" s="11" t="s">
        <v>303</v>
      </c>
      <c r="O94" s="12" t="s">
        <v>45</v>
      </c>
      <c r="P94" s="11"/>
      <c r="Q94" s="11"/>
      <c r="R94" s="14"/>
    </row>
    <row r="95" spans="1:18" ht="30" customHeight="1" x14ac:dyDescent="0.3">
      <c r="A95" s="7" t="str">
        <f t="shared" si="3"/>
        <v>Low Priority/Approved by PO</v>
      </c>
      <c r="B95" s="8" t="s">
        <v>96</v>
      </c>
      <c r="C95" s="9" t="s">
        <v>35</v>
      </c>
      <c r="D95" s="8" t="str">
        <f t="shared" si="2"/>
        <v>EXT_PTCS_93</v>
      </c>
      <c r="E95" s="10">
        <v>46234</v>
      </c>
      <c r="F95" s="8" t="s">
        <v>283</v>
      </c>
      <c r="G95" s="8" t="s">
        <v>304</v>
      </c>
      <c r="H95" s="8" t="s">
        <v>38</v>
      </c>
      <c r="I95" s="8" t="s">
        <v>39</v>
      </c>
      <c r="J95" s="11" t="s">
        <v>300</v>
      </c>
      <c r="K95" s="11" t="s">
        <v>71</v>
      </c>
      <c r="L95" s="11" t="s">
        <v>305</v>
      </c>
      <c r="M95" s="11" t="s">
        <v>306</v>
      </c>
      <c r="N95" s="11" t="s">
        <v>307</v>
      </c>
      <c r="O95" s="12" t="s">
        <v>45</v>
      </c>
      <c r="P95" s="11"/>
      <c r="Q95" s="11"/>
      <c r="R95" s="14"/>
    </row>
    <row r="96" spans="1:18" ht="30" customHeight="1" x14ac:dyDescent="0.3">
      <c r="A96" s="7" t="str">
        <f t="shared" si="3"/>
        <v>Low Priority/Approved by PO</v>
      </c>
      <c r="B96" s="8" t="s">
        <v>96</v>
      </c>
      <c r="C96" s="9" t="s">
        <v>35</v>
      </c>
      <c r="D96" s="8" t="str">
        <f t="shared" si="2"/>
        <v>EXT_PTCS_94</v>
      </c>
      <c r="E96" s="10">
        <v>46234</v>
      </c>
      <c r="F96" s="8" t="s">
        <v>283</v>
      </c>
      <c r="G96" s="8" t="s">
        <v>284</v>
      </c>
      <c r="H96" s="8" t="s">
        <v>38</v>
      </c>
      <c r="I96" s="8" t="s">
        <v>46</v>
      </c>
      <c r="J96" s="11" t="s">
        <v>308</v>
      </c>
      <c r="K96" s="11" t="s">
        <v>71</v>
      </c>
      <c r="L96" s="11" t="s">
        <v>286</v>
      </c>
      <c r="M96" s="11" t="s">
        <v>309</v>
      </c>
      <c r="N96" s="11" t="s">
        <v>288</v>
      </c>
      <c r="O96" s="12" t="s">
        <v>45</v>
      </c>
      <c r="P96" s="11"/>
      <c r="Q96" s="11"/>
      <c r="R96" s="14"/>
    </row>
    <row r="97" spans="1:18" ht="30" customHeight="1" x14ac:dyDescent="0.3">
      <c r="A97" s="7" t="str">
        <f t="shared" si="3"/>
        <v>Low Priority/Approved by PO</v>
      </c>
      <c r="B97" s="8" t="s">
        <v>96</v>
      </c>
      <c r="C97" s="9" t="s">
        <v>35</v>
      </c>
      <c r="D97" s="8" t="str">
        <f t="shared" si="2"/>
        <v>EXT_PTCS_95</v>
      </c>
      <c r="E97" s="10">
        <v>46234</v>
      </c>
      <c r="F97" s="8" t="s">
        <v>283</v>
      </c>
      <c r="G97" s="8" t="s">
        <v>289</v>
      </c>
      <c r="H97" s="8" t="s">
        <v>38</v>
      </c>
      <c r="I97" s="8" t="s">
        <v>46</v>
      </c>
      <c r="J97" s="11" t="s">
        <v>310</v>
      </c>
      <c r="K97" s="11" t="s">
        <v>71</v>
      </c>
      <c r="L97" s="11" t="s">
        <v>291</v>
      </c>
      <c r="M97" s="11" t="s">
        <v>311</v>
      </c>
      <c r="N97" s="11" t="s">
        <v>293</v>
      </c>
      <c r="O97" s="12" t="s">
        <v>45</v>
      </c>
      <c r="P97" s="11"/>
      <c r="Q97" s="11"/>
      <c r="R97" s="14"/>
    </row>
    <row r="98" spans="1:18" ht="30" customHeight="1" x14ac:dyDescent="0.3">
      <c r="A98" s="7" t="str">
        <f t="shared" si="3"/>
        <v>Low Priority/Approved by PO</v>
      </c>
      <c r="B98" s="8" t="s">
        <v>96</v>
      </c>
      <c r="C98" s="9" t="s">
        <v>35</v>
      </c>
      <c r="D98" s="8" t="str">
        <f t="shared" si="2"/>
        <v>EXT_PTCS_96</v>
      </c>
      <c r="E98" s="10">
        <v>46234</v>
      </c>
      <c r="F98" s="8" t="s">
        <v>283</v>
      </c>
      <c r="G98" s="8" t="s">
        <v>294</v>
      </c>
      <c r="H98" s="8" t="s">
        <v>38</v>
      </c>
      <c r="I98" s="8" t="s">
        <v>46</v>
      </c>
      <c r="J98" s="11" t="s">
        <v>312</v>
      </c>
      <c r="K98" s="11" t="s">
        <v>71</v>
      </c>
      <c r="L98" s="11" t="s">
        <v>296</v>
      </c>
      <c r="M98" s="11" t="s">
        <v>313</v>
      </c>
      <c r="N98" s="11" t="s">
        <v>298</v>
      </c>
      <c r="O98" s="12" t="s">
        <v>45</v>
      </c>
      <c r="P98" s="11"/>
      <c r="Q98" s="11"/>
      <c r="R98" s="14"/>
    </row>
    <row r="99" spans="1:18" ht="30" customHeight="1" x14ac:dyDescent="0.3">
      <c r="A99" s="7" t="str">
        <f t="shared" si="3"/>
        <v>Low Priority/Approved by PO</v>
      </c>
      <c r="B99" s="8" t="s">
        <v>96</v>
      </c>
      <c r="C99" s="9" t="s">
        <v>35</v>
      </c>
      <c r="D99" s="8" t="str">
        <f t="shared" si="2"/>
        <v>EXT_PTCS_97</v>
      </c>
      <c r="E99" s="10">
        <v>46234</v>
      </c>
      <c r="F99" s="8" t="s">
        <v>283</v>
      </c>
      <c r="G99" s="8" t="s">
        <v>299</v>
      </c>
      <c r="H99" s="8" t="s">
        <v>38</v>
      </c>
      <c r="I99" s="8" t="s">
        <v>46</v>
      </c>
      <c r="J99" s="11" t="s">
        <v>314</v>
      </c>
      <c r="K99" s="11" t="s">
        <v>71</v>
      </c>
      <c r="L99" s="11" t="s">
        <v>301</v>
      </c>
      <c r="M99" s="11" t="s">
        <v>315</v>
      </c>
      <c r="N99" s="11" t="s">
        <v>316</v>
      </c>
      <c r="O99" s="12" t="s">
        <v>45</v>
      </c>
      <c r="P99" s="11"/>
      <c r="Q99" s="11"/>
      <c r="R99" s="14"/>
    </row>
    <row r="100" spans="1:18" ht="30" customHeight="1" x14ac:dyDescent="0.3">
      <c r="A100" s="7" t="str">
        <f t="shared" si="3"/>
        <v>Low Priority/Approved by PO</v>
      </c>
      <c r="B100" s="8" t="s">
        <v>96</v>
      </c>
      <c r="C100" s="9" t="s">
        <v>35</v>
      </c>
      <c r="D100" s="8" t="str">
        <f t="shared" si="2"/>
        <v>EXT_PTCS_98</v>
      </c>
      <c r="E100" s="10">
        <v>46234</v>
      </c>
      <c r="F100" s="8" t="s">
        <v>283</v>
      </c>
      <c r="G100" s="8" t="s">
        <v>304</v>
      </c>
      <c r="H100" s="8" t="s">
        <v>38</v>
      </c>
      <c r="I100" s="8" t="s">
        <v>46</v>
      </c>
      <c r="J100" s="11" t="s">
        <v>314</v>
      </c>
      <c r="K100" s="11" t="s">
        <v>71</v>
      </c>
      <c r="L100" s="11" t="s">
        <v>305</v>
      </c>
      <c r="M100" s="11" t="s">
        <v>317</v>
      </c>
      <c r="N100" s="11" t="s">
        <v>307</v>
      </c>
      <c r="O100" s="12" t="s">
        <v>45</v>
      </c>
      <c r="P100" s="11"/>
      <c r="Q100" s="11"/>
      <c r="R100" s="14"/>
    </row>
    <row r="101" spans="1:18" ht="30" customHeight="1" x14ac:dyDescent="0.3">
      <c r="A101" s="7" t="str">
        <f t="shared" si="3"/>
        <v>Low Priority/Approved by PO</v>
      </c>
      <c r="B101" s="8" t="s">
        <v>96</v>
      </c>
      <c r="C101" s="9" t="s">
        <v>35</v>
      </c>
      <c r="D101" s="8" t="str">
        <f t="shared" si="2"/>
        <v>EXT_PTCS_99</v>
      </c>
      <c r="E101" s="10">
        <v>46234</v>
      </c>
      <c r="F101" s="8" t="s">
        <v>175</v>
      </c>
      <c r="G101" s="8" t="s">
        <v>318</v>
      </c>
      <c r="H101" s="8" t="s">
        <v>38</v>
      </c>
      <c r="I101" s="8" t="s">
        <v>39</v>
      </c>
      <c r="J101" s="11" t="s">
        <v>319</v>
      </c>
      <c r="K101" s="11" t="s">
        <v>71</v>
      </c>
      <c r="L101" s="11" t="s">
        <v>320</v>
      </c>
      <c r="M101" s="11" t="s">
        <v>321</v>
      </c>
      <c r="N101" s="11" t="s">
        <v>322</v>
      </c>
      <c r="O101" s="12" t="s">
        <v>45</v>
      </c>
      <c r="P101" s="20"/>
      <c r="Q101" s="20"/>
      <c r="R101" s="20"/>
    </row>
    <row r="102" spans="1:18" ht="30" customHeight="1" x14ac:dyDescent="0.3">
      <c r="A102" s="7" t="str">
        <f t="shared" si="3"/>
        <v>Low Priority/Approved by PO</v>
      </c>
      <c r="B102" s="8" t="s">
        <v>96</v>
      </c>
      <c r="C102" s="9" t="s">
        <v>35</v>
      </c>
      <c r="D102" s="8" t="str">
        <f t="shared" si="2"/>
        <v>EXT_PTCS_100</v>
      </c>
      <c r="E102" s="10">
        <v>46234</v>
      </c>
      <c r="F102" s="8" t="s">
        <v>175</v>
      </c>
      <c r="G102" s="8" t="s">
        <v>323</v>
      </c>
      <c r="H102" s="8" t="s">
        <v>38</v>
      </c>
      <c r="I102" s="8" t="s">
        <v>39</v>
      </c>
      <c r="J102" s="11" t="s">
        <v>319</v>
      </c>
      <c r="K102" s="11" t="s">
        <v>71</v>
      </c>
      <c r="L102" s="11" t="s">
        <v>324</v>
      </c>
      <c r="M102" s="11" t="s">
        <v>325</v>
      </c>
      <c r="N102" s="11" t="s">
        <v>326</v>
      </c>
      <c r="O102" s="12" t="s">
        <v>45</v>
      </c>
      <c r="P102" s="11"/>
      <c r="Q102" s="11"/>
      <c r="R102" s="14"/>
    </row>
    <row r="103" spans="1:18" ht="22.8" x14ac:dyDescent="0.3">
      <c r="A103" s="7" t="str">
        <f t="shared" si="3"/>
        <v>Low Priority/Approved by PO</v>
      </c>
      <c r="B103" s="8" t="s">
        <v>96</v>
      </c>
      <c r="C103" s="9" t="s">
        <v>35</v>
      </c>
      <c r="D103" s="8" t="str">
        <f t="shared" si="2"/>
        <v>EXT_PTCS_101</v>
      </c>
      <c r="E103" s="10">
        <v>46234</v>
      </c>
      <c r="F103" s="8" t="s">
        <v>175</v>
      </c>
      <c r="G103" s="8" t="s">
        <v>318</v>
      </c>
      <c r="H103" s="8" t="s">
        <v>38</v>
      </c>
      <c r="I103" s="8" t="s">
        <v>46</v>
      </c>
      <c r="J103" s="11" t="s">
        <v>327</v>
      </c>
      <c r="K103" s="11" t="s">
        <v>71</v>
      </c>
      <c r="L103" s="11" t="s">
        <v>320</v>
      </c>
      <c r="M103" s="11" t="s">
        <v>328</v>
      </c>
      <c r="N103" s="11" t="s">
        <v>329</v>
      </c>
      <c r="O103" s="12" t="s">
        <v>45</v>
      </c>
      <c r="P103" s="20"/>
      <c r="Q103" s="20"/>
      <c r="R103" s="20"/>
    </row>
    <row r="104" spans="1:18" ht="34.200000000000003" x14ac:dyDescent="0.3">
      <c r="A104" s="7" t="str">
        <f t="shared" si="3"/>
        <v>Low Priority/Approved by PO</v>
      </c>
      <c r="B104" s="8" t="s">
        <v>96</v>
      </c>
      <c r="C104" s="9" t="s">
        <v>35</v>
      </c>
      <c r="D104" s="8" t="str">
        <f t="shared" si="2"/>
        <v>EXT_PTCS_102</v>
      </c>
      <c r="E104" s="10">
        <v>46234</v>
      </c>
      <c r="F104" s="8" t="s">
        <v>175</v>
      </c>
      <c r="G104" s="8" t="s">
        <v>323</v>
      </c>
      <c r="H104" s="8" t="s">
        <v>38</v>
      </c>
      <c r="I104" s="8" t="s">
        <v>46</v>
      </c>
      <c r="J104" s="11" t="s">
        <v>327</v>
      </c>
      <c r="K104" s="11" t="s">
        <v>71</v>
      </c>
      <c r="L104" s="11" t="s">
        <v>324</v>
      </c>
      <c r="M104" s="11" t="s">
        <v>330</v>
      </c>
      <c r="N104" s="11" t="s">
        <v>326</v>
      </c>
      <c r="O104" s="12" t="s">
        <v>45</v>
      </c>
      <c r="P104" s="20"/>
      <c r="Q104" s="20"/>
      <c r="R104" s="14"/>
    </row>
    <row r="105" spans="1:18" s="21" customFormat="1" ht="30" customHeight="1" x14ac:dyDescent="0.3">
      <c r="A105" s="7" t="str">
        <f t="shared" si="3"/>
        <v>Low Priority/Approved by PO</v>
      </c>
      <c r="B105" s="8" t="s">
        <v>96</v>
      </c>
      <c r="C105" s="9" t="s">
        <v>35</v>
      </c>
      <c r="D105" s="8" t="str">
        <f t="shared" si="2"/>
        <v>EXT_PTCS_103</v>
      </c>
      <c r="E105" s="10">
        <v>46234</v>
      </c>
      <c r="F105" s="8" t="s">
        <v>190</v>
      </c>
      <c r="G105" s="8" t="s">
        <v>331</v>
      </c>
      <c r="H105" s="8" t="s">
        <v>38</v>
      </c>
      <c r="I105" s="8" t="s">
        <v>39</v>
      </c>
      <c r="J105" s="11" t="s">
        <v>332</v>
      </c>
      <c r="K105" s="11" t="s">
        <v>71</v>
      </c>
      <c r="L105" s="11" t="s">
        <v>333</v>
      </c>
      <c r="M105" s="11" t="s">
        <v>334</v>
      </c>
      <c r="N105" s="11" t="s">
        <v>335</v>
      </c>
      <c r="O105" s="12" t="s">
        <v>45</v>
      </c>
      <c r="P105" s="11"/>
      <c r="Q105" s="11"/>
      <c r="R105" s="14"/>
    </row>
    <row r="106" spans="1:18" ht="30" customHeight="1" x14ac:dyDescent="0.3">
      <c r="A106" s="7" t="str">
        <f t="shared" si="3"/>
        <v>Low Priority/Approved by PO</v>
      </c>
      <c r="B106" s="8" t="s">
        <v>96</v>
      </c>
      <c r="C106" s="9" t="s">
        <v>35</v>
      </c>
      <c r="D106" s="8" t="str">
        <f t="shared" si="2"/>
        <v>EXT_PTCS_104</v>
      </c>
      <c r="E106" s="10">
        <v>46234</v>
      </c>
      <c r="F106" s="8" t="s">
        <v>190</v>
      </c>
      <c r="G106" s="8" t="s">
        <v>336</v>
      </c>
      <c r="H106" s="8" t="s">
        <v>38</v>
      </c>
      <c r="I106" s="8" t="s">
        <v>39</v>
      </c>
      <c r="J106" s="11" t="s">
        <v>332</v>
      </c>
      <c r="K106" s="11" t="s">
        <v>71</v>
      </c>
      <c r="L106" s="11" t="s">
        <v>337</v>
      </c>
      <c r="M106" s="11" t="s">
        <v>338</v>
      </c>
      <c r="N106" s="11" t="s">
        <v>339</v>
      </c>
      <c r="O106" s="12" t="s">
        <v>45</v>
      </c>
      <c r="P106" s="11"/>
      <c r="Q106" s="11"/>
      <c r="R106" s="14"/>
    </row>
    <row r="107" spans="1:18" ht="30" customHeight="1" x14ac:dyDescent="0.3">
      <c r="A107" s="7" t="str">
        <f t="shared" si="3"/>
        <v>Low Priority/Approved by PO</v>
      </c>
      <c r="B107" s="8" t="s">
        <v>96</v>
      </c>
      <c r="C107" s="9" t="s">
        <v>35</v>
      </c>
      <c r="D107" s="8" t="str">
        <f t="shared" si="2"/>
        <v>EXT_PTCS_105</v>
      </c>
      <c r="E107" s="10">
        <v>46234</v>
      </c>
      <c r="F107" s="8" t="s">
        <v>190</v>
      </c>
      <c r="G107" s="8" t="s">
        <v>331</v>
      </c>
      <c r="H107" s="8" t="s">
        <v>38</v>
      </c>
      <c r="I107" s="8" t="s">
        <v>46</v>
      </c>
      <c r="J107" s="11" t="s">
        <v>340</v>
      </c>
      <c r="K107" s="11" t="s">
        <v>71</v>
      </c>
      <c r="L107" s="11" t="s">
        <v>333</v>
      </c>
      <c r="M107" s="11" t="s">
        <v>341</v>
      </c>
      <c r="N107" s="11" t="s">
        <v>342</v>
      </c>
      <c r="O107" s="12" t="s">
        <v>45</v>
      </c>
      <c r="P107" s="11"/>
      <c r="Q107" s="11"/>
      <c r="R107" s="14"/>
    </row>
    <row r="108" spans="1:18" ht="30" customHeight="1" x14ac:dyDescent="0.3">
      <c r="A108" s="7" t="str">
        <f t="shared" si="3"/>
        <v>Low Priority/Approved by PO</v>
      </c>
      <c r="B108" s="8" t="s">
        <v>96</v>
      </c>
      <c r="C108" s="9" t="s">
        <v>35</v>
      </c>
      <c r="D108" s="8" t="str">
        <f t="shared" si="2"/>
        <v>EXT_PTCS_106</v>
      </c>
      <c r="E108" s="10">
        <v>46234</v>
      </c>
      <c r="F108" s="8" t="s">
        <v>190</v>
      </c>
      <c r="G108" s="8" t="s">
        <v>336</v>
      </c>
      <c r="H108" s="8" t="s">
        <v>38</v>
      </c>
      <c r="I108" s="8" t="s">
        <v>46</v>
      </c>
      <c r="J108" s="11" t="s">
        <v>340</v>
      </c>
      <c r="K108" s="11" t="s">
        <v>71</v>
      </c>
      <c r="L108" s="11" t="s">
        <v>337</v>
      </c>
      <c r="M108" s="11" t="s">
        <v>343</v>
      </c>
      <c r="N108" s="11" t="s">
        <v>344</v>
      </c>
      <c r="O108" s="12" t="s">
        <v>45</v>
      </c>
      <c r="P108" s="11"/>
      <c r="Q108" s="11"/>
      <c r="R108" s="14"/>
    </row>
  </sheetData>
  <autoFilter ref="A1:R108" xr:uid="{72D9576B-2410-4B49-A398-540B87C34E50}"/>
  <mergeCells count="2">
    <mergeCell ref="A1:A2"/>
    <mergeCell ref="C1:C2"/>
  </mergeCells>
  <phoneticPr fontId="1" type="noConversion"/>
  <conditionalFormatting sqref="O3:O108">
    <cfRule type="cellIs" dxfId="5" priority="1" operator="equal">
      <formula>"To do"</formula>
    </cfRule>
    <cfRule type="cellIs" dxfId="4" priority="2" operator="equal">
      <formula>"N/A"</formula>
    </cfRule>
    <cfRule type="cellIs" dxfId="3" priority="3" operator="equal">
      <formula>"Blocked"</formula>
    </cfRule>
    <cfRule type="cellIs" dxfId="2" priority="4" operator="equal">
      <formula>"On Hold"</formula>
    </cfRule>
    <cfRule type="cellIs" dxfId="1" priority="5" operator="equal">
      <formula>"Passed"</formula>
    </cfRule>
    <cfRule type="cellIs" dxfId="0" priority="6" operator="equal">
      <formula>"Failed"</formula>
    </cfRule>
  </conditionalFormatting>
  <dataValidations count="4">
    <dataValidation type="date" allowBlank="1" showInputMessage="1" showErrorMessage="1" sqref="Q3:Q1048576 Q1" xr:uid="{CC1678C9-25F1-47EA-87DD-B85645974A0A}">
      <formula1>46086</formula1>
      <formula2>46234</formula2>
    </dataValidation>
    <dataValidation type="list" allowBlank="1" showInputMessage="1" showErrorMessage="1" sqref="B3:B108" xr:uid="{08F270DC-AA7E-4272-8A22-7D7C87A40262}">
      <formula1>Priority</formula1>
    </dataValidation>
    <dataValidation type="list" allowBlank="1" showInputMessage="1" showErrorMessage="1" sqref="O3:O108" xr:uid="{218239E9-9B6D-4D4E-8349-F9F9ADFA9CBE}">
      <formula1>"To Do, Passed, Failed, On Hold, N/A, Blocked"</formula1>
    </dataValidation>
    <dataValidation type="list" allowBlank="1" showInputMessage="1" showErrorMessage="1" sqref="C1 C3:C1048576" xr:uid="{08B83230-7AA8-4ED8-80A6-04202832A142}">
      <formula1>"Under construction, Review ongoing, Approved by PO"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B96815-3D0D-483C-81DD-7E3C93EF85E0}">
  <ds:schemaRefs>
    <ds:schemaRef ds:uri="http://schemas.microsoft.com/office/2006/metadata/properties"/>
    <ds:schemaRef ds:uri="http://schemas.microsoft.com/office/infopath/2007/PartnerControls"/>
    <ds:schemaRef ds:uri="http://purl.org/dc/dcmitype/"/>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dbd0fd41-a690-4c36-a9a4-b75ba9f0d652"/>
    <ds:schemaRef ds:uri="845aad34-1f17-48e0-9448-411e5565d2f0"/>
  </ds:schemaRefs>
</ds:datastoreItem>
</file>

<file path=customXml/itemProps2.xml><?xml version="1.0" encoding="utf-8"?>
<ds:datastoreItem xmlns:ds="http://schemas.openxmlformats.org/officeDocument/2006/customXml" ds:itemID="{174C6F62-0403-41FB-A9CD-162CE5B766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5aad34-1f17-48e0-9448-411e5565d2f0"/>
    <ds:schemaRef ds:uri="dbd0fd41-a690-4c36-a9a4-b75ba9f0d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E5A445-3BBC-4724-8A74-2FCE34D80C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PTCS FE App</vt:lpstr>
      <vt:lpstr>Priority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Anne-Frédérique Madouasse - Contractor</dc:creator>
  <cp:keywords/>
  <dc:description/>
  <cp:lastModifiedBy>Anne-Frédérique Madouasse - Contractor</cp:lastModifiedBy>
  <cp:revision/>
  <dcterms:created xsi:type="dcterms:W3CDTF">2026-01-08T06:52:44Z</dcterms:created>
  <dcterms:modified xsi:type="dcterms:W3CDTF">2026-01-22T14:41:18Z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2026-01-08T06:52:50Z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fcd90dab-aaa8-4aad-85b1-5b639ce1c6f9</vt:lpwstr>
  </property>
  <property fmtid="{D5CDD505-2E9C-101B-9397-08002B2CF9AE}" pid="8" name="MSIP_Label_ac0b9ce6-6e99-42a1-af95-429494370cbc_ContentBits">
    <vt:lpwstr>2</vt:lpwstr>
  </property>
  <property fmtid="{D5CDD505-2E9C-101B-9397-08002B2CF9AE}" pid="9" name="MSIP_Label_ac0b9ce6-6e99-42a1-af95-429494370cbc_Tag">
    <vt:lpwstr>10, 3, 0, 2</vt:lpwstr>
  </property>
  <property fmtid="{D5CDD505-2E9C-101B-9397-08002B2CF9AE}" pid="10" name="ContentTypeId">
    <vt:lpwstr>0x01010084FB619BED06E1489613C5ECA7EAFABF</vt:lpwstr>
  </property>
  <property fmtid="{D5CDD505-2E9C-101B-9397-08002B2CF9AE}" pid="11" name="MediaServiceImageTags">
    <vt:lpwstr/>
  </property>
</Properties>
</file>