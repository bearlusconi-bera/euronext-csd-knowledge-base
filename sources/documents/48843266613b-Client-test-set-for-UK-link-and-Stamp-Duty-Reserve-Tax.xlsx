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amadouasse_euronext_com/Documents/Desktop/"/>
    </mc:Choice>
  </mc:AlternateContent>
  <xr:revisionPtr revIDLastSave="0" documentId="8_{74C75E1B-3E37-4D0E-A987-065C301012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K Link &amp; SDRT" sheetId="2" r:id="rId1"/>
  </sheets>
  <definedNames>
    <definedName name="Priority">'UK Link &amp; SDRT'!$C$1:$C$4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3" i="2"/>
  <c r="A53" i="2" l="1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<sst xmlns="http://schemas.openxmlformats.org/spreadsheetml/2006/main" count="154" uniqueCount="81">
  <si>
    <t>Ref_Key</t>
  </si>
  <si>
    <t>Priority</t>
  </si>
  <si>
    <t>Test Design Status</t>
  </si>
  <si>
    <t>TEST Case</t>
  </si>
  <si>
    <t>ETA</t>
  </si>
  <si>
    <t>Main Topic</t>
  </si>
  <si>
    <t>Functionality</t>
  </si>
  <si>
    <t>Application</t>
  </si>
  <si>
    <t>User Profile</t>
  </si>
  <si>
    <t>Pre-requisites</t>
  </si>
  <si>
    <t>Dependencies</t>
  </si>
  <si>
    <t>References</t>
  </si>
  <si>
    <t xml:space="preserve">Description </t>
  </si>
  <si>
    <t>Expected Result</t>
  </si>
  <si>
    <t>Testing status</t>
  </si>
  <si>
    <t>Testing Comments</t>
  </si>
  <si>
    <t>Last Day Execution</t>
  </si>
  <si>
    <t>BUG Ref</t>
  </si>
  <si>
    <t>Test relevance</t>
  </si>
  <si>
    <t>Numerical ID of the test case</t>
  </si>
  <si>
    <t>Planned date for completion</t>
  </si>
  <si>
    <t>General topic object of the test case</t>
  </si>
  <si>
    <t>Specific functionality of the test case</t>
  </si>
  <si>
    <t>Application or module being tested</t>
  </si>
  <si>
    <t>Type of client targeted by the test case</t>
  </si>
  <si>
    <t>Conditions or setup needed before testing</t>
  </si>
  <si>
    <t>Tests or systems that must be completed first</t>
  </si>
  <si>
    <t>Related documents or requirements</t>
  </si>
  <si>
    <t>Detailed description of the test case</t>
  </si>
  <si>
    <t>Anticipated outcome of the test</t>
  </si>
  <si>
    <t>Specify test outcome</t>
  </si>
  <si>
    <t>Report notes / comments if needed</t>
  </si>
  <si>
    <t>Specify test execution date</t>
  </si>
  <si>
    <t>Identifier for any bugs found</t>
  </si>
  <si>
    <t>High Priority</t>
  </si>
  <si>
    <t>Approved by PO</t>
  </si>
  <si>
    <t>STP processing of the settlement resulting in:      
 - corresponding debit of securities and credit of cash on participants accounts; 
- update of custody records and 
- generation of settlement confirmation messages, as per today</t>
  </si>
  <si>
    <t>To Do</t>
  </si>
  <si>
    <t>STP processing of the settlement resulting in:      
 - corresponding credit of securities and debit of cash on participants accounts; 
- update of custody records and 
- generation of settlement confirmation messages, as per today</t>
  </si>
  <si>
    <t>Delivery free of payment processing</t>
  </si>
  <si>
    <t>Delivery free of payment settlement instruction</t>
  </si>
  <si>
    <t>STP processing of the settlement resulting in:      
 - corresponding debit of securities on participants account; 
- update of custody records and 
- generation of settlement confirmation messages, as per today</t>
  </si>
  <si>
    <t>Receipt free of payment processing</t>
  </si>
  <si>
    <t>Receipt free of payment settlement instruction</t>
  </si>
  <si>
    <t>STP processing of the settlement resulting in:      
 - corresponding credit of securities on participants account; 
- update of custody records and 
- generation of settlement confirmation messages, as per today</t>
  </si>
  <si>
    <t>Funding confirmation</t>
  </si>
  <si>
    <t>Receipt of cash statement from Citi, following the credit of our GBP account (funded by the Participant);
Partcipants are asked to provide the Receipt free of payment transaction reference in the clean payment instruction;</t>
  </si>
  <si>
    <t xml:space="preserve">Receipt free of payment release and settlement </t>
  </si>
  <si>
    <t xml:space="preserve">Matching of cash statement to Receipt free of payment transaction reference; </t>
  </si>
  <si>
    <t>Release of instruction
ES-MIL receives the settlement status messages and settlement confirmation</t>
  </si>
  <si>
    <t xml:space="preserve">Stamp duty payment reconciliation </t>
  </si>
  <si>
    <t>Post settlement reconciliation</t>
  </si>
  <si>
    <t xml:space="preserve">Receipt free of payment has settled, SDRT has been collected </t>
  </si>
  <si>
    <t>Upon settlement, Citi will debit from our GBP account the SDRTamount  due for the settlement day (net debit); 
To enable our reconciliation, Citi will also provide ES-MIL with a breakdown of all receipts contributing to the total debit and their transaction references to allow the reconciliation of tax payment vs transaction</t>
  </si>
  <si>
    <t xml:space="preserve">Receipt of breakdown of SDRT amount per transaction (Receipt free of payment)
Reconciliation of SDRT breakdown to Participant Receipt free of payment transaction references </t>
  </si>
  <si>
    <t>Settlement processing</t>
  </si>
  <si>
    <t>Existing non-equity (exempt volumes)</t>
  </si>
  <si>
    <t xml:space="preserve">Passed 'switch over' date, all CREST instructions will be settled in the new CSP account </t>
  </si>
  <si>
    <t xml:space="preserve">Participant instructs to receive free exempted/non-equity securities as per current UK crossborder flow </t>
  </si>
  <si>
    <t>Instruction is release
Where the ISIN is an equity, the filters aforementioned will apply</t>
  </si>
  <si>
    <t>Participant instructs to receive free equities</t>
  </si>
  <si>
    <t>Instruction is held and SDRT checks apply</t>
  </si>
  <si>
    <t>Corporate Actions</t>
  </si>
  <si>
    <t xml:space="preserve">DRIP SECU </t>
  </si>
  <si>
    <t>Intra ES-MIL settlement</t>
  </si>
  <si>
    <t xml:space="preserve">Delivery free of payment processing </t>
  </si>
  <si>
    <t xml:space="preserve">Receipt free of payment processing </t>
  </si>
  <si>
    <t>Cross-border settlement</t>
  </si>
  <si>
    <t>External Settlement - SDRT other values check. Instruction is maintained on hold, waiting for funding confirmation</t>
  </si>
  <si>
    <t>Cross-border settlement - Funding confirmation. System is able to identify the credit statement.</t>
  </si>
  <si>
    <t>Acceptance and processing of Delivery free of payment settlement instructions of UK shares with ES-MIL as P-SET</t>
  </si>
  <si>
    <t>Acceptance and processing of Receipt free of payment settlement instructions of UK shares with ES-MIL as P-SET</t>
  </si>
  <si>
    <t>System/Business Ops is able to identify the credit statement</t>
  </si>
  <si>
    <t>Participant Settlement user; 
ES-MIL Settlement Business Operations</t>
  </si>
  <si>
    <t>Participant Settlement user; 
Citibank London;
ES-MIL Settlement Business Operations</t>
  </si>
  <si>
    <t>Participant Asset Servicing user; 
Citibank London;
ES-MIL Settlement Business Operations</t>
  </si>
  <si>
    <t>Participant chooses to reinvest the dividend, which results in a chargeable stock deposit in ES-MIL account. 
Need to test the path where where upon a DRIP event in a UK chargeable equity, upon confirmation of the SECU option by the Participant, but before we process the reinvestment choice, the Participant will need to fund the 1% SDRT to fund our GBP account in order to release the order</t>
  </si>
  <si>
    <t xml:space="preserve">Dividend reinvested, which results in a chargeable stock deposit in ES-MIL account. </t>
  </si>
  <si>
    <t>N/A</t>
  </si>
  <si>
    <t>No dependencies</t>
  </si>
  <si>
    <t>ES-MIL A2A (ISO 20022) /  MyEuronext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</si>
</sst>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9"/>
      <color rgb="FFE6E9EA"/>
      <name val="Verdana"/>
      <family val="2"/>
    </font>
    <font>
      <sz val="9"/>
      <color rgb="FFE6E9EA"/>
      <name val="Verdana"/>
      <family val="2"/>
    </font>
    <font>
      <i/>
      <sz val="9"/>
      <color rgb="FFE6E9EA"/>
      <name val="Verdana"/>
      <family val="2"/>
    </font>
    <font>
      <sz val="9"/>
      <color rgb="FF000000"/>
      <name val="Verdana"/>
      <family val="2"/>
    </font>
    <font>
      <b/>
      <sz val="9"/>
      <color theme="1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  <family val="2"/>
    </font>
    <font>
      <sz val="9"/>
      <color theme="5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C1C9CB"/>
        <bgColor indexed="64"/>
      </patternFill>
    </fill>
    <fill>
      <patternFill patternType="solid">
        <fgColor rgb="FF003934"/>
        <bgColor rgb="FF5B9BD5"/>
      </patternFill>
    </fill>
    <fill>
      <patternFill patternType="solid">
        <fgColor theme="7" tint="-0.249977111117893"/>
        <bgColor rgb="FF5B9BD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D139A-1981-41B2-8322-5E097EB56E91}">
  <sheetPr>
    <tabColor theme="6" tint="0.39997558519241921"/>
  </sheetPr>
  <dimension ref="A1:R53"/>
  <sheetViews>
    <sheetView tabSelected="1" zoomScale="85" zoomScaleNormal="85" workbookViewId="0">
      <pane ySplit="2" topLeftCell="A3" activePane="bottomLeft" state="frozen"/>
      <selection pane="bottomLeft" sqref="A1:A2"/>
    </sheetView>
  </sheetViews>
  <sheetFormatPr defaultColWidth="9.109375" defaultRowHeight="11.4" x14ac:dyDescent="0.3"/>
  <cols>
    <col min="1" max="1" width="21.6640625" style="21" customWidth="1"/>
    <col min="2" max="2" width="12.6640625" style="15" bestFit="1" customWidth="1"/>
    <col min="3" max="3" width="19" style="15" customWidth="1"/>
    <col min="4" max="4" width="16.88671875" style="15" bestFit="1" customWidth="1"/>
    <col min="5" max="5" width="14.88671875" style="15" bestFit="1" customWidth="1"/>
    <col min="6" max="6" width="23.88671875" style="15" bestFit="1" customWidth="1"/>
    <col min="7" max="7" width="26.88671875" style="15" bestFit="1" customWidth="1"/>
    <col min="8" max="8" width="20.44140625" style="15" bestFit="1" customWidth="1"/>
    <col min="9" max="9" width="27.109375" style="15" customWidth="1"/>
    <col min="10" max="10" width="29.88671875" style="15" bestFit="1" customWidth="1"/>
    <col min="11" max="11" width="23.44140625" style="15" bestFit="1" customWidth="1"/>
    <col min="12" max="12" width="19.109375" style="15" bestFit="1" customWidth="1"/>
    <col min="13" max="13" width="62.5546875" style="22" customWidth="1"/>
    <col min="14" max="14" width="72.5546875" style="22" customWidth="1"/>
    <col min="15" max="15" width="19.33203125" style="15" bestFit="1" customWidth="1"/>
    <col min="16" max="16" width="23.5546875" style="22" bestFit="1" customWidth="1"/>
    <col min="17" max="17" width="14.5546875" style="15" bestFit="1" customWidth="1"/>
    <col min="18" max="18" width="15.88671875" style="15" bestFit="1" customWidth="1"/>
    <col min="19" max="16384" width="9.109375" style="15"/>
  </cols>
  <sheetData>
    <row r="1" spans="1:18" s="3" customFormat="1" ht="30" customHeight="1" x14ac:dyDescent="0.3">
      <c r="A1" s="23" t="s">
        <v>0</v>
      </c>
      <c r="B1" s="1" t="s">
        <v>1</v>
      </c>
      <c r="C1" s="24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3" customFormat="1" ht="30" customHeight="1" x14ac:dyDescent="0.3">
      <c r="A2" s="23"/>
      <c r="B2" s="4" t="s">
        <v>18</v>
      </c>
      <c r="C2" s="25"/>
      <c r="D2" s="4" t="s">
        <v>19</v>
      </c>
      <c r="E2" s="5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  <c r="R2" s="4" t="s">
        <v>33</v>
      </c>
    </row>
    <row r="3" spans="1:18" ht="45.6" x14ac:dyDescent="0.3">
      <c r="A3" s="6" t="str">
        <f t="shared" ref="A3:A49" si="0">$B3&amp;"/"&amp;$C3</f>
        <v>High Priority/Approved by PO</v>
      </c>
      <c r="B3" s="7" t="s">
        <v>34</v>
      </c>
      <c r="C3" s="8" t="s">
        <v>35</v>
      </c>
      <c r="D3" s="7" t="str">
        <f>"EXT_UKSDRT_"&amp;ROW()-2</f>
        <v>EXT_UKSDRT_1</v>
      </c>
      <c r="E3" s="9">
        <v>46234</v>
      </c>
      <c r="F3" s="10" t="s">
        <v>64</v>
      </c>
      <c r="G3" s="10" t="s">
        <v>39</v>
      </c>
      <c r="H3" s="10" t="s">
        <v>80</v>
      </c>
      <c r="I3" s="11" t="s">
        <v>73</v>
      </c>
      <c r="J3" s="10" t="s">
        <v>40</v>
      </c>
      <c r="K3" s="10" t="s">
        <v>79</v>
      </c>
      <c r="L3" s="10" t="s">
        <v>78</v>
      </c>
      <c r="M3" s="11" t="s">
        <v>70</v>
      </c>
      <c r="N3" s="11" t="s">
        <v>36</v>
      </c>
      <c r="O3" s="12" t="s">
        <v>37</v>
      </c>
      <c r="P3" s="13"/>
      <c r="Q3" s="14"/>
      <c r="R3" s="14"/>
    </row>
    <row r="4" spans="1:18" ht="45.6" x14ac:dyDescent="0.3">
      <c r="A4" s="6" t="str">
        <f t="shared" si="0"/>
        <v>High Priority/Approved by PO</v>
      </c>
      <c r="B4" s="7" t="s">
        <v>34</v>
      </c>
      <c r="C4" s="8" t="s">
        <v>35</v>
      </c>
      <c r="D4" s="7" t="str">
        <f t="shared" ref="D4:D12" si="1">"EXT_UKSDRT_"&amp;ROW()-2</f>
        <v>EXT_UKSDRT_2</v>
      </c>
      <c r="E4" s="9">
        <v>46234</v>
      </c>
      <c r="F4" s="10" t="s">
        <v>64</v>
      </c>
      <c r="G4" s="10" t="s">
        <v>42</v>
      </c>
      <c r="H4" s="10" t="s">
        <v>80</v>
      </c>
      <c r="I4" s="11" t="s">
        <v>73</v>
      </c>
      <c r="J4" s="10" t="s">
        <v>43</v>
      </c>
      <c r="K4" s="10" t="s">
        <v>79</v>
      </c>
      <c r="L4" s="10" t="s">
        <v>78</v>
      </c>
      <c r="M4" s="11" t="s">
        <v>71</v>
      </c>
      <c r="N4" s="11" t="s">
        <v>38</v>
      </c>
      <c r="O4" s="12" t="s">
        <v>37</v>
      </c>
      <c r="P4" s="13"/>
      <c r="Q4" s="14"/>
      <c r="R4" s="14"/>
    </row>
    <row r="5" spans="1:18" ht="45.6" x14ac:dyDescent="0.3">
      <c r="A5" s="6" t="str">
        <f t="shared" si="0"/>
        <v>High Priority/Approved by PO</v>
      </c>
      <c r="B5" s="7" t="s">
        <v>34</v>
      </c>
      <c r="C5" s="8" t="s">
        <v>35</v>
      </c>
      <c r="D5" s="7" t="str">
        <f t="shared" si="1"/>
        <v>EXT_UKSDRT_3</v>
      </c>
      <c r="E5" s="9">
        <v>46234</v>
      </c>
      <c r="F5" s="10" t="s">
        <v>64</v>
      </c>
      <c r="G5" s="10" t="s">
        <v>65</v>
      </c>
      <c r="H5" s="10" t="s">
        <v>80</v>
      </c>
      <c r="I5" s="11" t="s">
        <v>73</v>
      </c>
      <c r="J5" s="10" t="s">
        <v>40</v>
      </c>
      <c r="K5" s="10" t="s">
        <v>79</v>
      </c>
      <c r="L5" s="10" t="s">
        <v>78</v>
      </c>
      <c r="M5" s="11" t="s">
        <v>70</v>
      </c>
      <c r="N5" s="11" t="s">
        <v>41</v>
      </c>
      <c r="O5" s="12" t="s">
        <v>37</v>
      </c>
      <c r="P5" s="13"/>
      <c r="Q5" s="14"/>
      <c r="R5" s="14"/>
    </row>
    <row r="6" spans="1:18" ht="45.6" x14ac:dyDescent="0.3">
      <c r="A6" s="6" t="str">
        <f t="shared" si="0"/>
        <v>High Priority/Approved by PO</v>
      </c>
      <c r="B6" s="7" t="s">
        <v>34</v>
      </c>
      <c r="C6" s="8" t="s">
        <v>35</v>
      </c>
      <c r="D6" s="7" t="str">
        <f t="shared" si="1"/>
        <v>EXT_UKSDRT_4</v>
      </c>
      <c r="E6" s="9">
        <v>46234</v>
      </c>
      <c r="F6" s="10" t="s">
        <v>64</v>
      </c>
      <c r="G6" s="10" t="s">
        <v>66</v>
      </c>
      <c r="H6" s="10" t="s">
        <v>80</v>
      </c>
      <c r="I6" s="11" t="s">
        <v>73</v>
      </c>
      <c r="J6" s="10" t="s">
        <v>43</v>
      </c>
      <c r="K6" s="10" t="s">
        <v>79</v>
      </c>
      <c r="L6" s="10" t="s">
        <v>78</v>
      </c>
      <c r="M6" s="11" t="s">
        <v>71</v>
      </c>
      <c r="N6" s="11" t="s">
        <v>44</v>
      </c>
      <c r="O6" s="12" t="s">
        <v>37</v>
      </c>
      <c r="P6" s="13"/>
      <c r="Q6" s="14"/>
      <c r="R6" s="14"/>
    </row>
    <row r="7" spans="1:18" ht="68.400000000000006" x14ac:dyDescent="0.3">
      <c r="A7" s="6" t="str">
        <f t="shared" si="0"/>
        <v>High Priority/Approved by PO</v>
      </c>
      <c r="B7" s="7" t="s">
        <v>34</v>
      </c>
      <c r="C7" s="8" t="s">
        <v>35</v>
      </c>
      <c r="D7" s="7" t="str">
        <f t="shared" si="1"/>
        <v>EXT_UKSDRT_5</v>
      </c>
      <c r="E7" s="9">
        <v>46234</v>
      </c>
      <c r="F7" s="10" t="s">
        <v>67</v>
      </c>
      <c r="G7" s="7" t="s">
        <v>45</v>
      </c>
      <c r="H7" s="10" t="s">
        <v>80</v>
      </c>
      <c r="I7" s="13" t="s">
        <v>74</v>
      </c>
      <c r="J7" s="7" t="s">
        <v>68</v>
      </c>
      <c r="K7" s="10" t="s">
        <v>79</v>
      </c>
      <c r="L7" s="10" t="s">
        <v>78</v>
      </c>
      <c r="M7" s="13" t="s">
        <v>46</v>
      </c>
      <c r="N7" s="13" t="s">
        <v>72</v>
      </c>
      <c r="O7" s="12" t="s">
        <v>37</v>
      </c>
      <c r="P7" s="13"/>
      <c r="Q7" s="14"/>
      <c r="R7" s="14"/>
    </row>
    <row r="8" spans="1:18" ht="68.400000000000006" x14ac:dyDescent="0.3">
      <c r="A8" s="6" t="str">
        <f t="shared" si="0"/>
        <v>High Priority/Approved by PO</v>
      </c>
      <c r="B8" s="7" t="s">
        <v>34</v>
      </c>
      <c r="C8" s="8" t="s">
        <v>35</v>
      </c>
      <c r="D8" s="7" t="str">
        <f t="shared" si="1"/>
        <v>EXT_UKSDRT_6</v>
      </c>
      <c r="E8" s="9">
        <v>46234</v>
      </c>
      <c r="F8" s="10" t="s">
        <v>67</v>
      </c>
      <c r="G8" s="7" t="s">
        <v>47</v>
      </c>
      <c r="H8" s="10" t="s">
        <v>80</v>
      </c>
      <c r="I8" s="13" t="s">
        <v>74</v>
      </c>
      <c r="J8" s="7" t="s">
        <v>69</v>
      </c>
      <c r="K8" s="10" t="s">
        <v>79</v>
      </c>
      <c r="L8" s="10" t="s">
        <v>78</v>
      </c>
      <c r="M8" s="13" t="s">
        <v>48</v>
      </c>
      <c r="N8" s="13" t="s">
        <v>49</v>
      </c>
      <c r="O8" s="12" t="s">
        <v>37</v>
      </c>
      <c r="P8" s="13"/>
      <c r="Q8" s="14"/>
      <c r="R8" s="14"/>
    </row>
    <row r="9" spans="1:18" ht="99.75" customHeight="1" x14ac:dyDescent="0.3">
      <c r="A9" s="6" t="str">
        <f t="shared" si="0"/>
        <v>High Priority/Approved by PO</v>
      </c>
      <c r="B9" s="7" t="s">
        <v>34</v>
      </c>
      <c r="C9" s="8" t="s">
        <v>35</v>
      </c>
      <c r="D9" s="7" t="str">
        <f t="shared" si="1"/>
        <v>EXT_UKSDRT_7</v>
      </c>
      <c r="E9" s="9">
        <v>46234</v>
      </c>
      <c r="F9" s="7" t="s">
        <v>50</v>
      </c>
      <c r="G9" s="7" t="s">
        <v>51</v>
      </c>
      <c r="H9" s="10" t="s">
        <v>80</v>
      </c>
      <c r="I9" s="13" t="s">
        <v>74</v>
      </c>
      <c r="J9" s="7" t="s">
        <v>52</v>
      </c>
      <c r="K9" s="10" t="s">
        <v>79</v>
      </c>
      <c r="L9" s="10" t="s">
        <v>78</v>
      </c>
      <c r="M9" s="13" t="s">
        <v>53</v>
      </c>
      <c r="N9" s="13" t="s">
        <v>54</v>
      </c>
      <c r="O9" s="12" t="s">
        <v>37</v>
      </c>
      <c r="P9" s="13"/>
      <c r="Q9" s="14"/>
      <c r="R9" s="14"/>
    </row>
    <row r="10" spans="1:18" ht="68.400000000000006" x14ac:dyDescent="0.3">
      <c r="A10" s="6" t="str">
        <f t="shared" si="0"/>
        <v>High Priority/Approved by PO</v>
      </c>
      <c r="B10" s="7" t="s">
        <v>34</v>
      </c>
      <c r="C10" s="8" t="s">
        <v>35</v>
      </c>
      <c r="D10" s="7" t="str">
        <f t="shared" si="1"/>
        <v>EXT_UKSDRT_8</v>
      </c>
      <c r="E10" s="9">
        <v>46234</v>
      </c>
      <c r="F10" s="7" t="s">
        <v>55</v>
      </c>
      <c r="G10" s="7" t="s">
        <v>56</v>
      </c>
      <c r="H10" s="10" t="s">
        <v>80</v>
      </c>
      <c r="I10" s="13" t="s">
        <v>74</v>
      </c>
      <c r="J10" s="7" t="s">
        <v>57</v>
      </c>
      <c r="K10" s="10" t="s">
        <v>79</v>
      </c>
      <c r="L10" s="10" t="s">
        <v>78</v>
      </c>
      <c r="M10" s="13" t="s">
        <v>58</v>
      </c>
      <c r="N10" s="13" t="s">
        <v>59</v>
      </c>
      <c r="O10" s="12" t="s">
        <v>37</v>
      </c>
      <c r="P10" s="13"/>
      <c r="Q10" s="14"/>
      <c r="R10" s="14"/>
    </row>
    <row r="11" spans="1:18" ht="68.400000000000006" x14ac:dyDescent="0.3">
      <c r="A11" s="6" t="str">
        <f t="shared" si="0"/>
        <v>High Priority/Approved by PO</v>
      </c>
      <c r="B11" s="7" t="s">
        <v>34</v>
      </c>
      <c r="C11" s="8" t="s">
        <v>35</v>
      </c>
      <c r="D11" s="7" t="str">
        <f t="shared" si="1"/>
        <v>EXT_UKSDRT_9</v>
      </c>
      <c r="E11" s="9">
        <v>46234</v>
      </c>
      <c r="F11" s="7" t="s">
        <v>55</v>
      </c>
      <c r="G11" s="7" t="s">
        <v>56</v>
      </c>
      <c r="H11" s="10" t="s">
        <v>80</v>
      </c>
      <c r="I11" s="13" t="s">
        <v>74</v>
      </c>
      <c r="J11" s="7" t="s">
        <v>57</v>
      </c>
      <c r="K11" s="10" t="s">
        <v>79</v>
      </c>
      <c r="L11" s="10" t="s">
        <v>78</v>
      </c>
      <c r="M11" s="13" t="s">
        <v>60</v>
      </c>
      <c r="N11" s="13" t="s">
        <v>61</v>
      </c>
      <c r="O11" s="12" t="s">
        <v>37</v>
      </c>
      <c r="P11" s="13"/>
      <c r="Q11" s="14"/>
      <c r="R11" s="14"/>
    </row>
    <row r="12" spans="1:18" ht="138" customHeight="1" x14ac:dyDescent="0.3">
      <c r="A12" s="6" t="str">
        <f t="shared" si="0"/>
        <v>High Priority/Approved by PO</v>
      </c>
      <c r="B12" s="7" t="s">
        <v>34</v>
      </c>
      <c r="C12" s="8" t="s">
        <v>35</v>
      </c>
      <c r="D12" s="7" t="str">
        <f t="shared" si="1"/>
        <v>EXT_UKSDRT_10</v>
      </c>
      <c r="E12" s="9">
        <v>46234</v>
      </c>
      <c r="F12" s="7" t="s">
        <v>62</v>
      </c>
      <c r="G12" s="7" t="s">
        <v>63</v>
      </c>
      <c r="H12" s="10" t="s">
        <v>80</v>
      </c>
      <c r="I12" s="13" t="s">
        <v>75</v>
      </c>
      <c r="J12" s="7" t="s">
        <v>78</v>
      </c>
      <c r="K12" s="10" t="s">
        <v>79</v>
      </c>
      <c r="L12" s="10" t="s">
        <v>78</v>
      </c>
      <c r="M12" s="13" t="s">
        <v>76</v>
      </c>
      <c r="N12" s="13" t="s">
        <v>77</v>
      </c>
      <c r="O12" s="12" t="s">
        <v>37</v>
      </c>
      <c r="P12" s="13"/>
      <c r="Q12" s="14"/>
      <c r="R12" s="14"/>
    </row>
    <row r="13" spans="1:18" x14ac:dyDescent="0.3">
      <c r="A13" s="6" t="str">
        <f t="shared" si="0"/>
        <v>/</v>
      </c>
      <c r="B13" s="7"/>
      <c r="C13" s="8"/>
      <c r="D13" s="7"/>
      <c r="E13" s="16"/>
      <c r="F13" s="7"/>
      <c r="G13" s="7"/>
      <c r="H13" s="7"/>
      <c r="I13" s="7"/>
      <c r="J13" s="7"/>
      <c r="K13" s="7"/>
      <c r="L13" s="7"/>
      <c r="M13" s="13"/>
      <c r="N13" s="13"/>
      <c r="O13" s="12"/>
      <c r="P13" s="17"/>
      <c r="Q13" s="14"/>
      <c r="R13" s="14"/>
    </row>
    <row r="14" spans="1:18" x14ac:dyDescent="0.3">
      <c r="A14" s="6" t="str">
        <f t="shared" si="0"/>
        <v>/</v>
      </c>
      <c r="B14" s="7"/>
      <c r="C14" s="8"/>
      <c r="D14" s="7"/>
      <c r="E14" s="16"/>
      <c r="F14" s="7"/>
      <c r="G14" s="7"/>
      <c r="H14" s="7"/>
      <c r="I14" s="7"/>
      <c r="J14" s="7"/>
      <c r="K14" s="7"/>
      <c r="L14" s="7"/>
      <c r="M14" s="13"/>
      <c r="N14" s="13"/>
      <c r="O14" s="12"/>
      <c r="P14" s="13"/>
      <c r="Q14" s="14"/>
      <c r="R14" s="14"/>
    </row>
    <row r="15" spans="1:18" x14ac:dyDescent="0.3">
      <c r="A15" s="6" t="str">
        <f t="shared" si="0"/>
        <v>/</v>
      </c>
      <c r="B15" s="7"/>
      <c r="C15" s="8"/>
      <c r="D15" s="7"/>
      <c r="E15" s="16"/>
      <c r="F15" s="7"/>
      <c r="G15" s="7"/>
      <c r="H15" s="7"/>
      <c r="I15" s="7"/>
      <c r="J15" s="7"/>
      <c r="K15" s="7"/>
      <c r="L15" s="7"/>
      <c r="M15" s="13"/>
      <c r="N15" s="13"/>
      <c r="O15" s="12"/>
      <c r="P15" s="13"/>
      <c r="Q15" s="14"/>
      <c r="R15" s="14"/>
    </row>
    <row r="16" spans="1:18" x14ac:dyDescent="0.3">
      <c r="A16" s="6" t="str">
        <f t="shared" si="0"/>
        <v>/</v>
      </c>
      <c r="B16" s="7"/>
      <c r="C16" s="8"/>
      <c r="D16" s="7"/>
      <c r="E16" s="16"/>
      <c r="F16" s="7"/>
      <c r="G16" s="7"/>
      <c r="H16" s="7"/>
      <c r="I16" s="7"/>
      <c r="J16" s="7"/>
      <c r="K16" s="7"/>
      <c r="L16" s="7"/>
      <c r="M16" s="13"/>
      <c r="N16" s="13"/>
      <c r="O16" s="12"/>
      <c r="P16" s="13"/>
      <c r="Q16" s="14"/>
      <c r="R16" s="14"/>
    </row>
    <row r="17" spans="1:18" x14ac:dyDescent="0.3">
      <c r="A17" s="6" t="str">
        <f t="shared" si="0"/>
        <v>/</v>
      </c>
      <c r="B17" s="7"/>
      <c r="C17" s="8"/>
      <c r="D17" s="7"/>
      <c r="E17" s="16"/>
      <c r="F17" s="7"/>
      <c r="G17" s="7"/>
      <c r="H17" s="7"/>
      <c r="I17" s="7"/>
      <c r="J17" s="7"/>
      <c r="K17" s="7"/>
      <c r="L17" s="7"/>
      <c r="M17" s="13"/>
      <c r="N17" s="13"/>
      <c r="O17" s="12"/>
      <c r="P17" s="13"/>
      <c r="Q17" s="14"/>
      <c r="R17" s="14"/>
    </row>
    <row r="18" spans="1:18" x14ac:dyDescent="0.3">
      <c r="A18" s="6" t="str">
        <f t="shared" si="0"/>
        <v>/</v>
      </c>
      <c r="B18" s="7"/>
      <c r="C18" s="8"/>
      <c r="D18" s="7"/>
      <c r="E18" s="16"/>
      <c r="F18" s="7"/>
      <c r="G18" s="7"/>
      <c r="H18" s="7"/>
      <c r="I18" s="7"/>
      <c r="J18" s="7"/>
      <c r="K18" s="7"/>
      <c r="L18" s="7"/>
      <c r="M18" s="13"/>
      <c r="N18" s="13"/>
      <c r="O18" s="12"/>
      <c r="P18" s="18"/>
      <c r="Q18" s="14"/>
      <c r="R18" s="14"/>
    </row>
    <row r="19" spans="1:18" x14ac:dyDescent="0.3">
      <c r="A19" s="6" t="str">
        <f t="shared" si="0"/>
        <v>/</v>
      </c>
      <c r="B19" s="7"/>
      <c r="C19" s="8"/>
      <c r="D19" s="7"/>
      <c r="E19" s="16"/>
      <c r="F19" s="7"/>
      <c r="G19" s="7"/>
      <c r="H19" s="7"/>
      <c r="I19" s="7"/>
      <c r="J19" s="7"/>
      <c r="K19" s="7"/>
      <c r="L19" s="7"/>
      <c r="M19" s="13"/>
      <c r="N19" s="13"/>
      <c r="O19" s="12"/>
      <c r="P19" s="18"/>
      <c r="Q19" s="14"/>
      <c r="R19" s="14"/>
    </row>
    <row r="20" spans="1:18" x14ac:dyDescent="0.3">
      <c r="A20" s="6" t="str">
        <f t="shared" si="0"/>
        <v>/</v>
      </c>
      <c r="B20" s="7"/>
      <c r="C20" s="8"/>
      <c r="D20" s="7"/>
      <c r="E20" s="16"/>
      <c r="F20" s="7"/>
      <c r="G20" s="7"/>
      <c r="H20" s="7"/>
      <c r="I20" s="7"/>
      <c r="J20" s="7"/>
      <c r="K20" s="7"/>
      <c r="L20" s="7"/>
      <c r="M20" s="13"/>
      <c r="N20" s="13"/>
      <c r="O20" s="12"/>
      <c r="P20" s="18"/>
      <c r="Q20" s="14"/>
      <c r="R20" s="14"/>
    </row>
    <row r="21" spans="1:18" x14ac:dyDescent="0.3">
      <c r="A21" s="6" t="str">
        <f t="shared" si="0"/>
        <v>/</v>
      </c>
      <c r="B21" s="7"/>
      <c r="C21" s="8"/>
      <c r="D21" s="7"/>
      <c r="E21" s="16"/>
      <c r="F21" s="7"/>
      <c r="G21" s="7"/>
      <c r="H21" s="7"/>
      <c r="I21" s="7"/>
      <c r="J21" s="7"/>
      <c r="K21" s="7"/>
      <c r="L21" s="7"/>
      <c r="M21" s="13"/>
      <c r="N21" s="13"/>
      <c r="O21" s="12"/>
      <c r="P21" s="18"/>
      <c r="Q21" s="14"/>
      <c r="R21" s="14"/>
    </row>
    <row r="22" spans="1:18" x14ac:dyDescent="0.3">
      <c r="A22" s="6" t="str">
        <f t="shared" si="0"/>
        <v>/</v>
      </c>
      <c r="B22" s="7"/>
      <c r="C22" s="8"/>
      <c r="D22" s="7"/>
      <c r="E22" s="16"/>
      <c r="F22" s="7"/>
      <c r="G22" s="7"/>
      <c r="H22" s="7"/>
      <c r="I22" s="7"/>
      <c r="J22" s="7"/>
      <c r="K22" s="7"/>
      <c r="L22" s="7"/>
      <c r="M22" s="13"/>
      <c r="N22" s="13"/>
      <c r="O22" s="12"/>
      <c r="P22" s="13"/>
      <c r="Q22" s="14"/>
      <c r="R22" s="14"/>
    </row>
    <row r="23" spans="1:18" x14ac:dyDescent="0.3">
      <c r="A23" s="6" t="str">
        <f t="shared" si="0"/>
        <v>/</v>
      </c>
      <c r="B23" s="7"/>
      <c r="C23" s="8"/>
      <c r="D23" s="7"/>
      <c r="E23" s="16"/>
      <c r="F23" s="7"/>
      <c r="G23" s="7"/>
      <c r="H23" s="7"/>
      <c r="I23" s="7"/>
      <c r="J23" s="7"/>
      <c r="K23" s="7"/>
      <c r="L23" s="7"/>
      <c r="M23" s="13"/>
      <c r="N23" s="13"/>
      <c r="O23" s="12"/>
      <c r="P23" s="18"/>
      <c r="Q23" s="14"/>
      <c r="R23" s="14"/>
    </row>
    <row r="24" spans="1:18" x14ac:dyDescent="0.3">
      <c r="A24" s="6" t="str">
        <f t="shared" si="0"/>
        <v>/</v>
      </c>
      <c r="B24" s="7"/>
      <c r="C24" s="8"/>
      <c r="D24" s="7"/>
      <c r="E24" s="16"/>
      <c r="F24" s="7"/>
      <c r="G24" s="7"/>
      <c r="H24" s="7"/>
      <c r="I24" s="7"/>
      <c r="J24" s="7"/>
      <c r="K24" s="7"/>
      <c r="L24" s="7"/>
      <c r="M24" s="13"/>
      <c r="N24" s="13"/>
      <c r="O24" s="12"/>
      <c r="P24" s="13"/>
      <c r="Q24" s="14"/>
      <c r="R24" s="14"/>
    </row>
    <row r="25" spans="1:18" x14ac:dyDescent="0.3">
      <c r="A25" s="6" t="str">
        <f t="shared" si="0"/>
        <v>/</v>
      </c>
      <c r="B25" s="7"/>
      <c r="C25" s="8"/>
      <c r="D25" s="7"/>
      <c r="E25" s="16"/>
      <c r="F25" s="7"/>
      <c r="G25" s="7"/>
      <c r="H25" s="7"/>
      <c r="I25" s="7"/>
      <c r="J25" s="7"/>
      <c r="K25" s="7"/>
      <c r="L25" s="7"/>
      <c r="M25" s="13"/>
      <c r="N25" s="13"/>
      <c r="O25" s="12"/>
      <c r="P25" s="13"/>
      <c r="Q25" s="14"/>
      <c r="R25" s="14"/>
    </row>
    <row r="26" spans="1:18" x14ac:dyDescent="0.3">
      <c r="A26" s="6" t="str">
        <f t="shared" si="0"/>
        <v>/</v>
      </c>
      <c r="B26" s="7"/>
      <c r="C26" s="8"/>
      <c r="D26" s="7"/>
      <c r="E26" s="16"/>
      <c r="F26" s="7"/>
      <c r="G26" s="7"/>
      <c r="H26" s="7"/>
      <c r="I26" s="7"/>
      <c r="J26" s="7"/>
      <c r="K26" s="7"/>
      <c r="L26" s="7"/>
      <c r="M26" s="13"/>
      <c r="N26" s="13"/>
      <c r="O26" s="12"/>
      <c r="P26" s="18"/>
      <c r="Q26" s="14"/>
      <c r="R26" s="14"/>
    </row>
    <row r="27" spans="1:18" x14ac:dyDescent="0.3">
      <c r="A27" s="6" t="str">
        <f t="shared" si="0"/>
        <v>/</v>
      </c>
      <c r="B27" s="7"/>
      <c r="C27" s="8"/>
      <c r="D27" s="7"/>
      <c r="E27" s="16"/>
      <c r="F27" s="7"/>
      <c r="G27" s="7"/>
      <c r="H27" s="7"/>
      <c r="I27" s="7"/>
      <c r="J27" s="7"/>
      <c r="K27" s="7"/>
      <c r="L27" s="7"/>
      <c r="M27" s="13"/>
      <c r="N27" s="13"/>
      <c r="O27" s="12"/>
      <c r="P27" s="18"/>
      <c r="Q27" s="14"/>
      <c r="R27" s="14"/>
    </row>
    <row r="28" spans="1:18" x14ac:dyDescent="0.3">
      <c r="A28" s="6" t="str">
        <f t="shared" si="0"/>
        <v>/</v>
      </c>
      <c r="B28" s="7"/>
      <c r="C28" s="8"/>
      <c r="D28" s="7"/>
      <c r="E28" s="16"/>
      <c r="F28" s="7"/>
      <c r="G28" s="7"/>
      <c r="H28" s="7"/>
      <c r="I28" s="7"/>
      <c r="J28" s="7"/>
      <c r="K28" s="7"/>
      <c r="L28" s="7"/>
      <c r="M28" s="13"/>
      <c r="N28" s="13"/>
      <c r="O28" s="12"/>
      <c r="P28" s="18"/>
      <c r="Q28" s="14"/>
      <c r="R28" s="14"/>
    </row>
    <row r="29" spans="1:18" x14ac:dyDescent="0.3">
      <c r="A29" s="6" t="str">
        <f t="shared" si="0"/>
        <v>/</v>
      </c>
      <c r="B29" s="7"/>
      <c r="C29" s="8"/>
      <c r="D29" s="7"/>
      <c r="E29" s="16"/>
      <c r="F29" s="7"/>
      <c r="G29" s="7"/>
      <c r="H29" s="7"/>
      <c r="I29" s="7"/>
      <c r="J29" s="7"/>
      <c r="K29" s="7"/>
      <c r="L29" s="7"/>
      <c r="M29" s="13"/>
      <c r="N29" s="13"/>
      <c r="O29" s="12"/>
      <c r="P29" s="18"/>
      <c r="Q29" s="14"/>
      <c r="R29" s="14"/>
    </row>
    <row r="30" spans="1:18" x14ac:dyDescent="0.3">
      <c r="A30" s="6" t="str">
        <f t="shared" si="0"/>
        <v>/</v>
      </c>
      <c r="B30" s="7"/>
      <c r="C30" s="8"/>
      <c r="D30" s="7"/>
      <c r="E30" s="16"/>
      <c r="F30" s="7"/>
      <c r="G30" s="7"/>
      <c r="H30" s="7"/>
      <c r="I30" s="7"/>
      <c r="J30" s="7"/>
      <c r="K30" s="7"/>
      <c r="L30" s="7"/>
      <c r="M30" s="13"/>
      <c r="N30" s="13"/>
      <c r="O30" s="12"/>
      <c r="P30" s="13"/>
      <c r="Q30" s="14"/>
      <c r="R30" s="14"/>
    </row>
    <row r="31" spans="1:18" x14ac:dyDescent="0.3">
      <c r="A31" s="6" t="str">
        <f t="shared" si="0"/>
        <v>/</v>
      </c>
      <c r="B31" s="7"/>
      <c r="C31" s="8"/>
      <c r="D31" s="7"/>
      <c r="E31" s="16"/>
      <c r="F31" s="7"/>
      <c r="G31" s="7"/>
      <c r="H31" s="7"/>
      <c r="I31" s="7"/>
      <c r="J31" s="7"/>
      <c r="K31" s="7"/>
      <c r="L31" s="7"/>
      <c r="M31" s="13"/>
      <c r="N31" s="13"/>
      <c r="O31" s="12"/>
      <c r="P31" s="18"/>
      <c r="Q31" s="14"/>
      <c r="R31" s="14"/>
    </row>
    <row r="32" spans="1:18" x14ac:dyDescent="0.3">
      <c r="A32" s="6" t="str">
        <f t="shared" si="0"/>
        <v>/</v>
      </c>
      <c r="B32" s="7"/>
      <c r="C32" s="8"/>
      <c r="D32" s="7"/>
      <c r="E32" s="16"/>
      <c r="F32" s="7"/>
      <c r="G32" s="7"/>
      <c r="H32" s="7"/>
      <c r="I32" s="7"/>
      <c r="J32" s="7"/>
      <c r="K32" s="7"/>
      <c r="L32" s="7"/>
      <c r="M32" s="13"/>
      <c r="N32" s="13"/>
      <c r="O32" s="12"/>
      <c r="P32" s="13"/>
      <c r="Q32" s="14"/>
      <c r="R32" s="14"/>
    </row>
    <row r="33" spans="1:18" x14ac:dyDescent="0.3">
      <c r="A33" s="6" t="str">
        <f t="shared" si="0"/>
        <v>/</v>
      </c>
      <c r="B33" s="7"/>
      <c r="C33" s="8"/>
      <c r="D33" s="7"/>
      <c r="E33" s="16"/>
      <c r="F33" s="7"/>
      <c r="G33" s="7"/>
      <c r="H33" s="7"/>
      <c r="I33" s="7"/>
      <c r="J33" s="7"/>
      <c r="K33" s="7"/>
      <c r="L33" s="7"/>
      <c r="M33" s="13"/>
      <c r="N33" s="13"/>
      <c r="O33" s="12"/>
      <c r="P33" s="13"/>
      <c r="Q33" s="14"/>
      <c r="R33" s="14"/>
    </row>
    <row r="34" spans="1:18" x14ac:dyDescent="0.3">
      <c r="A34" s="6" t="str">
        <f t="shared" si="0"/>
        <v>/</v>
      </c>
      <c r="B34" s="7"/>
      <c r="C34" s="8"/>
      <c r="D34" s="7"/>
      <c r="E34" s="16"/>
      <c r="F34" s="7"/>
      <c r="G34" s="7"/>
      <c r="H34" s="7"/>
      <c r="I34" s="7"/>
      <c r="J34" s="7"/>
      <c r="K34" s="7"/>
      <c r="L34" s="7"/>
      <c r="M34" s="13"/>
      <c r="N34" s="13"/>
      <c r="O34" s="12"/>
      <c r="P34" s="13"/>
      <c r="Q34" s="14"/>
      <c r="R34" s="14"/>
    </row>
    <row r="35" spans="1:18" x14ac:dyDescent="0.3">
      <c r="A35" s="6" t="str">
        <f t="shared" si="0"/>
        <v>/</v>
      </c>
      <c r="B35" s="7"/>
      <c r="C35" s="8"/>
      <c r="D35" s="7"/>
      <c r="E35" s="16"/>
      <c r="F35" s="7"/>
      <c r="G35" s="7"/>
      <c r="H35" s="7"/>
      <c r="I35" s="7"/>
      <c r="J35" s="7"/>
      <c r="K35" s="7"/>
      <c r="L35" s="7"/>
      <c r="M35" s="13"/>
      <c r="N35" s="13"/>
      <c r="O35" s="12"/>
      <c r="P35" s="13"/>
      <c r="Q35" s="14"/>
      <c r="R35" s="14"/>
    </row>
    <row r="36" spans="1:18" x14ac:dyDescent="0.3">
      <c r="A36" s="6" t="str">
        <f t="shared" si="0"/>
        <v>/</v>
      </c>
      <c r="B36" s="7"/>
      <c r="C36" s="8"/>
      <c r="D36" s="7"/>
      <c r="E36" s="16"/>
      <c r="F36" s="7"/>
      <c r="G36" s="7"/>
      <c r="H36" s="7"/>
      <c r="I36" s="7"/>
      <c r="J36" s="7"/>
      <c r="K36" s="7"/>
      <c r="L36" s="7"/>
      <c r="M36" s="13"/>
      <c r="N36" s="13"/>
      <c r="O36" s="12"/>
      <c r="P36" s="13"/>
      <c r="Q36" s="14"/>
      <c r="R36" s="14"/>
    </row>
    <row r="37" spans="1:18" x14ac:dyDescent="0.3">
      <c r="A37" s="6" t="str">
        <f t="shared" si="0"/>
        <v>/</v>
      </c>
      <c r="B37" s="7"/>
      <c r="C37" s="8"/>
      <c r="D37" s="7"/>
      <c r="E37" s="16"/>
      <c r="F37" s="7"/>
      <c r="G37" s="7"/>
      <c r="H37" s="7"/>
      <c r="I37" s="7"/>
      <c r="J37" s="7"/>
      <c r="K37" s="7"/>
      <c r="L37" s="7"/>
      <c r="M37" s="13"/>
      <c r="N37" s="13"/>
      <c r="O37" s="12"/>
      <c r="P37" s="13"/>
      <c r="Q37" s="14"/>
      <c r="R37" s="14"/>
    </row>
    <row r="38" spans="1:18" x14ac:dyDescent="0.3">
      <c r="A38" s="6" t="str">
        <f t="shared" si="0"/>
        <v>/</v>
      </c>
      <c r="B38" s="7"/>
      <c r="C38" s="8"/>
      <c r="D38" s="7"/>
      <c r="E38" s="16"/>
      <c r="F38" s="7"/>
      <c r="G38" s="7"/>
      <c r="H38" s="7"/>
      <c r="I38" s="7"/>
      <c r="J38" s="7"/>
      <c r="K38" s="7"/>
      <c r="L38" s="7"/>
      <c r="M38" s="13"/>
      <c r="N38" s="13"/>
      <c r="O38" s="12"/>
      <c r="P38" s="13"/>
      <c r="Q38" s="14"/>
      <c r="R38" s="14"/>
    </row>
    <row r="39" spans="1:18" x14ac:dyDescent="0.3">
      <c r="A39" s="6" t="str">
        <f t="shared" si="0"/>
        <v>/</v>
      </c>
      <c r="B39" s="7"/>
      <c r="C39" s="8"/>
      <c r="D39" s="7"/>
      <c r="E39" s="16"/>
      <c r="F39" s="7"/>
      <c r="G39" s="7"/>
      <c r="H39" s="7"/>
      <c r="I39" s="7"/>
      <c r="J39" s="7"/>
      <c r="K39" s="7"/>
      <c r="L39" s="7"/>
      <c r="M39" s="13"/>
      <c r="N39" s="13"/>
      <c r="O39" s="12"/>
      <c r="P39" s="13"/>
      <c r="Q39" s="14"/>
      <c r="R39" s="14"/>
    </row>
    <row r="40" spans="1:18" x14ac:dyDescent="0.3">
      <c r="A40" s="6" t="str">
        <f t="shared" si="0"/>
        <v>/</v>
      </c>
      <c r="B40" s="7"/>
      <c r="C40" s="8"/>
      <c r="D40" s="7"/>
      <c r="E40" s="16"/>
      <c r="F40" s="7"/>
      <c r="G40" s="7"/>
      <c r="H40" s="7"/>
      <c r="I40" s="7"/>
      <c r="J40" s="7"/>
      <c r="K40" s="7"/>
      <c r="L40" s="7"/>
      <c r="M40" s="13"/>
      <c r="N40" s="13"/>
      <c r="O40" s="12"/>
      <c r="P40" s="13"/>
      <c r="Q40" s="14"/>
      <c r="R40" s="14"/>
    </row>
    <row r="41" spans="1:18" x14ac:dyDescent="0.3">
      <c r="A41" s="6" t="str">
        <f t="shared" si="0"/>
        <v>/</v>
      </c>
      <c r="B41" s="7"/>
      <c r="C41" s="8"/>
      <c r="D41" s="7"/>
      <c r="E41" s="16"/>
      <c r="F41" s="7"/>
      <c r="G41" s="7"/>
      <c r="H41" s="7"/>
      <c r="I41" s="7"/>
      <c r="J41" s="7"/>
      <c r="K41" s="7"/>
      <c r="L41" s="7"/>
      <c r="M41" s="13"/>
      <c r="N41" s="13"/>
      <c r="O41" s="12"/>
      <c r="P41" s="13"/>
      <c r="Q41" s="14"/>
      <c r="R41" s="14"/>
    </row>
    <row r="42" spans="1:18" x14ac:dyDescent="0.3">
      <c r="A42" s="6" t="str">
        <f t="shared" si="0"/>
        <v>/</v>
      </c>
      <c r="B42" s="7"/>
      <c r="C42" s="8"/>
      <c r="D42" s="7"/>
      <c r="E42" s="16"/>
      <c r="F42" s="7"/>
      <c r="G42" s="7"/>
      <c r="H42" s="7"/>
      <c r="I42" s="7"/>
      <c r="J42" s="7"/>
      <c r="K42" s="7"/>
      <c r="L42" s="7"/>
      <c r="M42" s="13"/>
      <c r="N42" s="13"/>
      <c r="O42" s="12"/>
      <c r="P42" s="13"/>
      <c r="Q42" s="14"/>
      <c r="R42" s="14"/>
    </row>
    <row r="43" spans="1:18" x14ac:dyDescent="0.3">
      <c r="A43" s="6" t="str">
        <f t="shared" si="0"/>
        <v>/</v>
      </c>
      <c r="B43" s="7"/>
      <c r="C43" s="8"/>
      <c r="D43" s="7"/>
      <c r="E43" s="16"/>
      <c r="F43" s="7"/>
      <c r="G43" s="7"/>
      <c r="H43" s="7"/>
      <c r="I43" s="7"/>
      <c r="J43" s="7"/>
      <c r="K43" s="7"/>
      <c r="L43" s="7"/>
      <c r="M43" s="13"/>
      <c r="N43" s="13"/>
      <c r="O43" s="12"/>
      <c r="P43" s="18"/>
      <c r="Q43" s="14"/>
      <c r="R43" s="14"/>
    </row>
    <row r="44" spans="1:18" x14ac:dyDescent="0.3">
      <c r="A44" s="6" t="str">
        <f t="shared" si="0"/>
        <v>/</v>
      </c>
      <c r="B44" s="7"/>
      <c r="C44" s="8"/>
      <c r="D44" s="7"/>
      <c r="E44" s="16"/>
      <c r="F44" s="7"/>
      <c r="G44" s="7"/>
      <c r="H44" s="7"/>
      <c r="I44" s="7"/>
      <c r="J44" s="7"/>
      <c r="K44" s="7"/>
      <c r="L44" s="7"/>
      <c r="M44" s="13"/>
      <c r="N44" s="13"/>
      <c r="O44" s="12"/>
      <c r="P44" s="13"/>
      <c r="Q44" s="14"/>
      <c r="R44" s="14"/>
    </row>
    <row r="45" spans="1:18" x14ac:dyDescent="0.3">
      <c r="A45" s="6" t="str">
        <f t="shared" si="0"/>
        <v>/</v>
      </c>
      <c r="B45" s="7"/>
      <c r="C45" s="8"/>
      <c r="D45" s="7"/>
      <c r="E45" s="16"/>
      <c r="F45" s="7"/>
      <c r="G45" s="7"/>
      <c r="H45" s="7"/>
      <c r="I45" s="7"/>
      <c r="J45" s="7"/>
      <c r="K45" s="7"/>
      <c r="L45" s="7"/>
      <c r="M45" s="13"/>
      <c r="N45" s="13"/>
      <c r="O45" s="12"/>
      <c r="P45" s="18"/>
      <c r="Q45" s="14"/>
      <c r="R45" s="14"/>
    </row>
    <row r="46" spans="1:18" x14ac:dyDescent="0.3">
      <c r="A46" s="6" t="str">
        <f t="shared" si="0"/>
        <v>/</v>
      </c>
      <c r="B46" s="7"/>
      <c r="C46" s="8"/>
      <c r="D46" s="7"/>
      <c r="E46" s="16"/>
      <c r="F46" s="7"/>
      <c r="G46" s="7"/>
      <c r="H46" s="7"/>
      <c r="I46" s="7"/>
      <c r="J46" s="7"/>
      <c r="K46" s="7"/>
      <c r="L46" s="7"/>
      <c r="M46" s="13"/>
      <c r="N46" s="13"/>
      <c r="O46" s="12"/>
      <c r="P46" s="18"/>
      <c r="Q46" s="14"/>
      <c r="R46" s="14"/>
    </row>
    <row r="47" spans="1:18" s="19" customFormat="1" x14ac:dyDescent="0.3">
      <c r="A47" s="6" t="str">
        <f t="shared" si="0"/>
        <v>/</v>
      </c>
      <c r="B47" s="7"/>
      <c r="C47" s="8"/>
      <c r="D47" s="7"/>
      <c r="E47" s="16"/>
      <c r="F47" s="7"/>
      <c r="G47" s="7"/>
      <c r="H47" s="7"/>
      <c r="I47" s="7"/>
      <c r="J47" s="7"/>
      <c r="K47" s="7"/>
      <c r="L47" s="7"/>
      <c r="M47" s="13"/>
      <c r="N47" s="13"/>
      <c r="O47" s="12"/>
      <c r="P47" s="13"/>
      <c r="Q47" s="14"/>
      <c r="R47" s="14"/>
    </row>
    <row r="48" spans="1:18" x14ac:dyDescent="0.3">
      <c r="A48" s="6" t="str">
        <f t="shared" si="0"/>
        <v>/</v>
      </c>
      <c r="B48" s="7"/>
      <c r="C48" s="8"/>
      <c r="D48" s="7"/>
      <c r="E48" s="16"/>
      <c r="F48" s="7"/>
      <c r="G48" s="7"/>
      <c r="H48" s="7"/>
      <c r="I48" s="7"/>
      <c r="J48" s="7"/>
      <c r="K48" s="7"/>
      <c r="L48" s="7"/>
      <c r="M48" s="13"/>
      <c r="N48" s="13"/>
      <c r="O48" s="12"/>
      <c r="P48" s="13"/>
      <c r="Q48" s="14"/>
      <c r="R48" s="14"/>
    </row>
    <row r="49" spans="1:18" x14ac:dyDescent="0.3">
      <c r="A49" s="6" t="str">
        <f t="shared" si="0"/>
        <v>/</v>
      </c>
      <c r="B49" s="7"/>
      <c r="C49" s="8"/>
      <c r="D49" s="7"/>
      <c r="E49" s="16"/>
      <c r="F49" s="7"/>
      <c r="G49" s="7"/>
      <c r="H49" s="7"/>
      <c r="I49" s="7"/>
      <c r="J49" s="7"/>
      <c r="K49" s="7"/>
      <c r="L49" s="7"/>
      <c r="M49" s="13"/>
      <c r="N49" s="13"/>
      <c r="O49" s="12"/>
      <c r="P49" s="13"/>
      <c r="Q49" s="14"/>
      <c r="R49" s="14"/>
    </row>
    <row r="50" spans="1:18" x14ac:dyDescent="0.3">
      <c r="A50" s="6" t="str">
        <f t="shared" ref="A50:A53" si="2">$B50&amp;"/"&amp;$C50</f>
        <v>/</v>
      </c>
      <c r="B50" s="7"/>
      <c r="C50" s="8"/>
      <c r="D50" s="7"/>
      <c r="E50" s="16"/>
      <c r="F50" s="7"/>
      <c r="G50" s="7"/>
      <c r="H50" s="7"/>
      <c r="I50" s="7"/>
      <c r="J50" s="7"/>
      <c r="K50" s="7"/>
      <c r="L50" s="7"/>
      <c r="M50" s="13"/>
      <c r="N50" s="13"/>
      <c r="O50" s="12"/>
      <c r="P50" s="13"/>
      <c r="Q50" s="14"/>
      <c r="R50" s="14"/>
    </row>
    <row r="51" spans="1:18" s="20" customFormat="1" x14ac:dyDescent="0.3">
      <c r="A51" s="6" t="str">
        <f t="shared" si="2"/>
        <v>/</v>
      </c>
      <c r="B51" s="7"/>
      <c r="C51" s="8"/>
      <c r="D51" s="7"/>
      <c r="E51" s="16"/>
      <c r="F51" s="7"/>
      <c r="G51" s="7"/>
      <c r="H51" s="7"/>
      <c r="I51" s="7"/>
      <c r="J51" s="7"/>
      <c r="K51" s="7"/>
      <c r="L51" s="7"/>
      <c r="M51" s="13"/>
      <c r="N51" s="13"/>
      <c r="O51" s="12"/>
      <c r="P51" s="13"/>
      <c r="Q51" s="14"/>
      <c r="R51" s="14"/>
    </row>
    <row r="52" spans="1:18" s="20" customFormat="1" x14ac:dyDescent="0.3">
      <c r="A52" s="6" t="str">
        <f t="shared" si="2"/>
        <v>/</v>
      </c>
      <c r="B52" s="7"/>
      <c r="C52" s="8"/>
      <c r="D52" s="7"/>
      <c r="E52" s="16"/>
      <c r="F52" s="7"/>
      <c r="G52" s="7"/>
      <c r="H52" s="7"/>
      <c r="I52" s="7"/>
      <c r="J52" s="7"/>
      <c r="K52" s="7"/>
      <c r="L52" s="7"/>
      <c r="M52" s="13"/>
      <c r="N52" s="13"/>
      <c r="O52" s="12"/>
      <c r="P52" s="13"/>
      <c r="Q52" s="14"/>
      <c r="R52" s="14"/>
    </row>
    <row r="53" spans="1:18" x14ac:dyDescent="0.3">
      <c r="A53" s="6" t="str">
        <f t="shared" si="2"/>
        <v>/</v>
      </c>
      <c r="B53" s="7"/>
      <c r="C53" s="8"/>
      <c r="D53" s="7"/>
      <c r="E53" s="16"/>
      <c r="F53" s="7"/>
      <c r="G53" s="7"/>
      <c r="H53" s="7"/>
      <c r="I53" s="7"/>
      <c r="J53" s="7"/>
      <c r="K53" s="7"/>
      <c r="L53" s="7"/>
      <c r="M53" s="13"/>
      <c r="N53" s="13"/>
      <c r="O53" s="12"/>
      <c r="P53" s="13"/>
      <c r="Q53" s="14"/>
      <c r="R53" s="14"/>
    </row>
  </sheetData>
  <autoFilter ref="A1:R2" xr:uid="{F0C8B900-DAB3-4885-AFD2-893C7934334B}"/>
  <mergeCells count="2">
    <mergeCell ref="A1:A2"/>
    <mergeCell ref="C1:C2"/>
  </mergeCells>
  <conditionalFormatting sqref="O3:O53">
    <cfRule type="cellIs" dxfId="5" priority="1" operator="equal">
      <formula>"To do"</formula>
    </cfRule>
    <cfRule type="cellIs" dxfId="4" priority="2" operator="equal">
      <formula>"N/A"</formula>
    </cfRule>
    <cfRule type="cellIs" dxfId="3" priority="3" operator="equal">
      <formula>"Blocked"</formula>
    </cfRule>
    <cfRule type="cellIs" dxfId="2" priority="4" operator="equal">
      <formula>"On Hold"</formula>
    </cfRule>
    <cfRule type="cellIs" dxfId="1" priority="5" operator="equal">
      <formula>"Passed"</formula>
    </cfRule>
    <cfRule type="cellIs" dxfId="0" priority="6" operator="equal">
      <formula>"Failed"</formula>
    </cfRule>
  </conditionalFormatting>
  <dataValidations count="4">
    <dataValidation type="date" allowBlank="1" showInputMessage="1" showErrorMessage="1" sqref="Q1" xr:uid="{BA46B4BC-9027-4124-A8C3-3B7D2E849505}">
      <formula1>46086</formula1>
      <formula2>46234</formula2>
    </dataValidation>
    <dataValidation type="list" allowBlank="1" showInputMessage="1" showErrorMessage="1" sqref="C1 C3:C1048576" xr:uid="{C64F081C-BF3A-4414-94D2-1D224DEC0A93}">
      <formula1>"Under construction, Review ongoing, Approved by PO"</formula1>
    </dataValidation>
    <dataValidation type="list" allowBlank="1" showInputMessage="1" showErrorMessage="1" sqref="B3:B53" xr:uid="{030F4408-47FF-4CA5-A260-014021F1B7D2}">
      <formula1>Priority</formula1>
    </dataValidation>
    <dataValidation type="list" allowBlank="1" showInputMessage="1" showErrorMessage="1" sqref="O3:O53" xr:uid="{E1BB122D-F84C-4546-BB12-C1D8E3B2A2AB}">
      <formula1>"To Do, Passed, Failed, On Hold, N/A, Blocked"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FB619BED06E1489613C5ECA7EAFABF" ma:contentTypeVersion="12" ma:contentTypeDescription="Create a new document." ma:contentTypeScope="" ma:versionID="bbce5bba2ee56c5894d051f5eb67db7e">
  <xsd:schema xmlns:xsd="http://www.w3.org/2001/XMLSchema" xmlns:xs="http://www.w3.org/2001/XMLSchema" xmlns:p="http://schemas.microsoft.com/office/2006/metadata/properties" xmlns:ns2="845aad34-1f17-48e0-9448-411e5565d2f0" xmlns:ns3="dbd0fd41-a690-4c36-a9a4-b75ba9f0d652" targetNamespace="http://schemas.microsoft.com/office/2006/metadata/properties" ma:root="true" ma:fieldsID="a639effef2c19a8b0423102411451b29" ns2:_="" ns3:_="">
    <xsd:import namespace="845aad34-1f17-48e0-9448-411e5565d2f0"/>
    <xsd:import namespace="dbd0fd41-a690-4c36-a9a4-b75ba9f0d6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aad34-1f17-48e0-9448-411e5565d2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6448b7c-b198-4f3f-91b4-0f03f23d7c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0fd41-a690-4c36-a9a4-b75ba9f0d65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8827ec9-78a5-473b-8273-0c2c4dc10778}" ma:internalName="TaxCatchAll" ma:showField="CatchAllData" ma:web="dbd0fd41-a690-4c36-a9a4-b75ba9f0d6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d0fd41-a690-4c36-a9a4-b75ba9f0d652" xsi:nil="true"/>
    <lcf76f155ced4ddcb4097134ff3c332f xmlns="845aad34-1f17-48e0-9448-411e5565d2f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69EBC-3312-4044-91E7-C30D0D780F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aad34-1f17-48e0-9448-411e5565d2f0"/>
    <ds:schemaRef ds:uri="dbd0fd41-a690-4c36-a9a4-b75ba9f0d6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D73FB9-D497-432B-8DB1-6C236C084DE6}">
  <ds:schemaRefs>
    <ds:schemaRef ds:uri="http://schemas.microsoft.com/office/2006/metadata/properties"/>
    <ds:schemaRef ds:uri="http://purl.org/dc/terms/"/>
    <ds:schemaRef ds:uri="http://purl.org/dc/dcmitype/"/>
    <ds:schemaRef ds:uri="845aad34-1f17-48e0-9448-411e5565d2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bd0fd41-a690-4c36-a9a4-b75ba9f0d652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3BD4CE4-9F83-4A7A-AE33-E0E3A1EAE4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UK Link &amp; SDRT</vt:lpstr>
      <vt:lpstr>Priority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Anne-Frédérique Madouasse - Contractor</dc:creator>
  <cp:keywords/>
  <dc:description/>
  <cp:lastModifiedBy>Anne-Frédérique Madouasse - Contractor</cp:lastModifiedBy>
  <cp:revision/>
  <dcterms:created xsi:type="dcterms:W3CDTF">2026-01-07T12:15:38Z</dcterms:created>
  <dcterms:modified xsi:type="dcterms:W3CDTF">2026-01-22T16:11:30Z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2026-01-07T12:15:43Z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b19955a6-e1d7-4113-a7aa-1e2af9defe5f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10, 3, 0, 2</vt:lpwstr>
  </property>
  <property fmtid="{D5CDD505-2E9C-101B-9397-08002B2CF9AE}" pid="10" name="ContentTypeId">
    <vt:lpwstr>0x01010084FB619BED06E1489613C5ECA7EAFABF</vt:lpwstr>
  </property>
  <property fmtid="{D5CDD505-2E9C-101B-9397-08002B2CF9AE}" pid="11" name="MediaServiceImageTags">
    <vt:lpwstr/>
  </property>
</Properties>
</file>