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DE316B0B-C919-43EC-8205-6EF5B2F3CC1A}" xr6:coauthVersionLast="47" xr6:coauthVersionMax="47" xr10:uidLastSave="{00000000-0000-0000-0000-000000000000}"/>
  <bookViews>
    <workbookView xWindow="-120" yWindow="-120" windowWidth="20730" windowHeight="11040" xr2:uid="{82370E67-7BBE-4F5D-8B13-588A122E8D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<sst xmlns="http://schemas.openxmlformats.org/spreadsheetml/2006/main" count="29" uniqueCount="25">
  <si>
    <t xml:space="preserve">IT0005725160 - REPUBBLICA ITALIANA BTP INDICIZZATO INFLAZIONE EUROPEA  30-07-2026 15-02-2037 VARIABILE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</si>
  <si>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</si>
  <si>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</si>
  <si>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</si>
  <si>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</si>
  <si>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</si>
  <si>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</si>
  <si>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</si>
  <si>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</si>
  <si>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</si>
  <si>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 xml:space="preserve">MAGGIO   </t>
  </si>
  <si>
    <t xml:space="preserve">APRILE   </t>
  </si>
  <si>
    <t>riferimento</t>
  </si>
  <si>
    <t>SETTEMBRE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</si>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</sst>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30A78-4CAD-4E51-B50E-C9E7958D77C8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8</v>
      </c>
    </row>
    <row r="10" spans="1:7" ht="13.5" thickBot="1" x14ac:dyDescent="0.25">
      <c r="A10" s="11" t="s">
        <v>12</v>
      </c>
      <c r="B10" s="9" t="s">
        <v>11</v>
      </c>
      <c r="C10" s="9" t="s">
        <v>10</v>
      </c>
      <c r="D10" s="10"/>
      <c r="E10" s="10"/>
      <c r="F10" s="9"/>
      <c r="G10" s="8" t="s">
        <v>9</v>
      </c>
    </row>
    <row r="12" spans="1:7" x14ac:dyDescent="0.2">
      <c r="A12" s="12" t="str">
        <f>"30/07/26"</f>
        <v>30/07/26</v>
      </c>
      <c r="B12" s="14" t="str">
        <f>"103.02"</f>
        <v>103.02</v>
      </c>
      <c r="C12" s="14" t="str">
        <f>"103.10"</f>
        <v>103.10</v>
      </c>
      <c r="D12" s="14" t="str">
        <f>"29"</f>
        <v>29</v>
      </c>
      <c r="E12" s="14" t="str">
        <f>"31"</f>
        <v>31</v>
      </c>
      <c r="F12" s="14"/>
      <c r="G12" s="13" t="str">
        <f>"103.09484"</f>
        <v>103.09484</v>
      </c>
    </row>
    <row r="13" spans="1:7" ht="13.5" thickBot="1" x14ac:dyDescent="0.25"/>
    <row r="14" spans="1:7" x14ac:dyDescent="0.2">
      <c r="F14" s="15"/>
      <c r="G14" s="6" t="s">
        <v>7</v>
      </c>
    </row>
    <row r="15" spans="1:7" ht="13.5" thickBot="1" x14ac:dyDescent="0.25">
      <c r="F15" s="17"/>
      <c r="G15" s="20" t="s">
        <v>9</v>
      </c>
    </row>
    <row r="17" spans="1:7" ht="13.5" thickBot="1" x14ac:dyDescent="0.25">
      <c r="F17" s="27"/>
      <c r="G17" s="28" t="str">
        <f>"  0.00000"</f>
        <v xml:space="preserve">  0.00000</v>
      </c>
    </row>
    <row r="18" spans="1:7" ht="14.25" thickTop="1" thickBot="1" x14ac:dyDescent="0.25">
      <c r="A18" s="22" t="s">
        <v>13</v>
      </c>
      <c r="B18" s="24" t="s">
        <v>14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16</v>
      </c>
      <c r="C19" s="34" t="str">
        <f>"103.21"</f>
        <v>103.21</v>
      </c>
      <c r="D19" t="s">
        <v>15</v>
      </c>
      <c r="G19" s="18"/>
    </row>
    <row r="20" spans="1:7" ht="14.25" thickTop="1" thickBot="1" x14ac:dyDescent="0.25">
      <c r="A20" s="16"/>
      <c r="B20" s="32" t="s">
        <v>17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21</v>
      </c>
      <c r="C23" s="23" t="s">
        <v>20</v>
      </c>
      <c r="D23" s="23"/>
      <c r="E23" s="36" t="s">
        <v>19</v>
      </c>
      <c r="F23" s="23"/>
      <c r="G23" s="35" t="s">
        <v>18</v>
      </c>
    </row>
    <row r="24" spans="1:7" ht="13.5" thickBot="1" x14ac:dyDescent="0.25">
      <c r="B24" s="16"/>
      <c r="C24" s="10"/>
      <c r="D24" s="32"/>
      <c r="E24" s="37" t="s">
        <v>9</v>
      </c>
      <c r="F24" s="32"/>
      <c r="G24" s="38" t="s">
        <v>9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0.99889"</f>
        <v xml:space="preserve"> 0.99889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0.99896"</f>
        <v xml:space="preserve"> 0.99896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0.99903"</f>
        <v xml:space="preserve"> 0.99903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0.99911"</f>
        <v xml:space="preserve"> 0.99911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0.99918"</f>
        <v xml:space="preserve"> 0.99918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0.99926"</f>
        <v xml:space="preserve"> 0.99926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0.99933"</f>
        <v xml:space="preserve"> 0.99933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0.99941"</f>
        <v xml:space="preserve"> 0.99941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0.99948"</f>
        <v xml:space="preserve"> 0.99948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0.99956"</f>
        <v xml:space="preserve"> 0.99956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0.99963"</f>
        <v xml:space="preserve"> 0.99963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0.99970"</f>
        <v xml:space="preserve"> 0.99970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0.99978"</f>
        <v xml:space="preserve"> 0.99978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0.99985"</f>
        <v xml:space="preserve"> 0.99985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0.99993"</f>
        <v xml:space="preserve"> 0.99993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1.00000"</f>
        <v xml:space="preserve"> 1.00000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1.00008"</f>
        <v xml:space="preserve"> 1.00008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1.00015"</f>
        <v xml:space="preserve"> 1.00015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1.00022"</f>
        <v xml:space="preserve"> 1.00022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1.00030"</f>
        <v xml:space="preserve"> 1.00030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1.00037"</f>
        <v xml:space="preserve"> 1.00037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1.00045"</f>
        <v xml:space="preserve"> 1.00045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1.00052"</f>
        <v xml:space="preserve"> 1.00052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1.00060"</f>
        <v xml:space="preserve"> 1.00060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1.00067"</f>
        <v xml:space="preserve"> 1.00067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1.00075"</f>
        <v xml:space="preserve"> 1.00075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1.00082"</f>
        <v xml:space="preserve"> 1.00082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1.00089"</f>
        <v xml:space="preserve"> 1.00089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1.00097"</f>
        <v xml:space="preserve"> 1.00097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1.00104"</f>
        <v xml:space="preserve"> 1.00104</v>
      </c>
    </row>
    <row r="58" spans="1:7" ht="23.25" x14ac:dyDescent="0.35">
      <c r="A58" s="45" t="s">
        <v>22</v>
      </c>
      <c r="B58" s="46" t="s">
        <v>23</v>
      </c>
    </row>
    <row r="60" spans="1:7" ht="23.25" x14ac:dyDescent="0.35">
      <c r="A60" s="45" t="s">
        <v>22</v>
      </c>
      <c r="B60" s="46" t="s">
        <v>24</v>
      </c>
    </row>
  </sheetData>
  <pageMargins left="0.7" right="0.7" top="0.75" bottom="0.75" header="0.3" footer="0.3"/>
  <pageSetup paperSize="9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2026-08-20T09:28:46Z</cp:lastPrinted>
  <dcterms:created xsi:type="dcterms:W3CDTF">2026-08-20T09:28:39Z</dcterms:created>
  <dcterms:modified xsi:type="dcterms:W3CDTF">2026-08-20T09:28:47Z</dcterms:modified>
</cp:coreProperties>
</file>