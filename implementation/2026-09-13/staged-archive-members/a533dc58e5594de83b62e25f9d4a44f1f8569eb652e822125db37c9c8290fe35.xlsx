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9256DC58-9E35-473C-B842-7168CD3CEF3E}" xr6:coauthVersionLast="47" xr6:coauthVersionMax="47" xr10:uidLastSave="{00000000-0000-0000-0000-000000000000}"/>
  <bookViews>
    <workbookView xWindow="-120" yWindow="-120" windowWidth="20730" windowHeight="11040" xr2:uid="{D501AC73-DF30-4F20-A36E-1ADD46F07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<sst xmlns="http://schemas.openxmlformats.org/spreadsheetml/2006/main" count="29" uniqueCount="25">
  <si>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FR0000186413 - FRANCE REPUBLIC OF 01/10/99-25/07/29 TASSO FISSO 3.4%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</si>
  <si>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</si>
  <si>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</si>
  <si>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1995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</si>
  <si>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1995</t>
    </r>
  </si>
  <si>
    <t>gg dal 1° m  - 1</t>
  </si>
  <si>
    <t>gg nel mese m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</si>
  <si>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1995</t>
    </r>
  </si>
  <si>
    <t>arrotondato 5 cfr</t>
  </si>
  <si>
    <t xml:space="preserve">MAGGIO   </t>
  </si>
  <si>
    <t xml:space="preserve">APRILE   </t>
  </si>
  <si>
    <t>riferimento</t>
  </si>
  <si>
    <t>IR d,m base 2010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</si>
  <si>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</si>
  <si>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</si>
  <si>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</si>
  <si>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</si>
  <si>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</si>
  <si>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</si>
  <si>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</si>
  <si>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</si>
  <si>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</si>
  <si>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17/08/2026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</si>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</sst>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0BAF-997D-465F-9322-BF80258476CD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7</v>
      </c>
    </row>
    <row r="10" spans="1:7" ht="13.5" thickBot="1" x14ac:dyDescent="0.25">
      <c r="A10" s="11" t="s">
        <v>11</v>
      </c>
      <c r="B10" s="9" t="s">
        <v>10</v>
      </c>
      <c r="C10" s="9" t="s">
        <v>9</v>
      </c>
      <c r="D10" s="10"/>
      <c r="E10" s="10"/>
      <c r="F10" s="9"/>
      <c r="G10" s="8" t="s">
        <v>8</v>
      </c>
    </row>
    <row r="12" spans="1:7" x14ac:dyDescent="0.2">
      <c r="A12" s="12" t="str">
        <f>"25/07/99"</f>
        <v>25/07/99</v>
      </c>
      <c r="B12" s="14" t="str">
        <f>" 79.85"</f>
        <v xml:space="preserve"> 79.85</v>
      </c>
      <c r="C12" s="14" t="str">
        <f>" 79.85"</f>
        <v xml:space="preserve"> 79.85</v>
      </c>
      <c r="D12" s="14" t="str">
        <f>"24"</f>
        <v>24</v>
      </c>
      <c r="E12" s="14" t="str">
        <f>"31"</f>
        <v>31</v>
      </c>
      <c r="F12" s="14"/>
      <c r="G12" s="13" t="str">
        <f>" 79.85419"</f>
        <v xml:space="preserve"> 79.85419</v>
      </c>
    </row>
    <row r="13" spans="1:7" ht="13.5" thickBot="1" x14ac:dyDescent="0.25"/>
    <row r="14" spans="1:7" x14ac:dyDescent="0.2">
      <c r="F14" s="15"/>
      <c r="G14" s="6" t="s">
        <v>12</v>
      </c>
    </row>
    <row r="15" spans="1:7" ht="13.5" thickBot="1" x14ac:dyDescent="0.25">
      <c r="F15" s="17"/>
      <c r="G15" s="20" t="s">
        <v>8</v>
      </c>
    </row>
    <row r="17" spans="1:7" ht="13.5" thickBot="1" x14ac:dyDescent="0.25">
      <c r="F17" s="27"/>
      <c r="G17" s="28" t="str">
        <f>" 66.64518"</f>
        <v xml:space="preserve"> 66.64518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"102.09"</f>
        <v>102.09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"102.67"</f>
        <v>102.67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8</v>
      </c>
      <c r="F24" s="32"/>
      <c r="G24" s="38" t="s">
        <v>8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"102.09000"</f>
        <v>102.09000</v>
      </c>
      <c r="F26" s="40"/>
      <c r="G26" s="44" t="str">
        <f>" 1.53184"</f>
        <v xml:space="preserve"> 1.53184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"102.10933"</f>
        <v>102.10933</v>
      </c>
      <c r="F27" s="40"/>
      <c r="G27" s="44" t="str">
        <f>" 1.53213"</f>
        <v xml:space="preserve"> 1.53213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"102.12867"</f>
        <v>102.12867</v>
      </c>
      <c r="F28" s="40"/>
      <c r="G28" s="44" t="str">
        <f>" 1.53242"</f>
        <v xml:space="preserve"> 1.53242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"102.14800"</f>
        <v>102.14800</v>
      </c>
      <c r="F29" s="40"/>
      <c r="G29" s="44" t="str">
        <f>" 1.53271"</f>
        <v xml:space="preserve"> 1.53271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"102.16733"</f>
        <v>102.16733</v>
      </c>
      <c r="F30" s="40"/>
      <c r="G30" s="44" t="str">
        <f>" 1.53300"</f>
        <v xml:space="preserve"> 1.53300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"102.18667"</f>
        <v>102.18667</v>
      </c>
      <c r="F31" s="40"/>
      <c r="G31" s="44" t="str">
        <f>" 1.53329"</f>
        <v xml:space="preserve"> 1.53329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"102.20600"</f>
        <v>102.20600</v>
      </c>
      <c r="F32" s="40"/>
      <c r="G32" s="44" t="str">
        <f>" 1.53358"</f>
        <v xml:space="preserve"> 1.53358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"102.22533"</f>
        <v>102.22533</v>
      </c>
      <c r="F33" s="40"/>
      <c r="G33" s="44" t="str">
        <f>" 1.53387"</f>
        <v xml:space="preserve"> 1.53387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"102.24467"</f>
        <v>102.24467</v>
      </c>
      <c r="F34" s="40"/>
      <c r="G34" s="44" t="str">
        <f>" 1.53416"</f>
        <v xml:space="preserve"> 1.53416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"102.26400"</f>
        <v>102.26400</v>
      </c>
      <c r="F35" s="40"/>
      <c r="G35" s="44" t="str">
        <f>" 1.53445"</f>
        <v xml:space="preserve"> 1.53445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"102.28333"</f>
        <v>102.28333</v>
      </c>
      <c r="F36" s="40"/>
      <c r="G36" s="44" t="str">
        <f>" 1.53474"</f>
        <v xml:space="preserve"> 1.53474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"102.30267"</f>
        <v>102.30267</v>
      </c>
      <c r="F37" s="40"/>
      <c r="G37" s="44" t="str">
        <f>" 1.53503"</f>
        <v xml:space="preserve"> 1.53503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"102.32200"</f>
        <v>102.32200</v>
      </c>
      <c r="F38" s="40"/>
      <c r="G38" s="44" t="str">
        <f>" 1.53532"</f>
        <v xml:space="preserve"> 1.53532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"102.34133"</f>
        <v>102.34133</v>
      </c>
      <c r="F39" s="40"/>
      <c r="G39" s="44" t="str">
        <f>" 1.53561"</f>
        <v xml:space="preserve"> 1.53561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"102.36067"</f>
        <v>102.36067</v>
      </c>
      <c r="F40" s="40"/>
      <c r="G40" s="44" t="str">
        <f>" 1.53591"</f>
        <v xml:space="preserve"> 1.53591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"102.38000"</f>
        <v>102.38000</v>
      </c>
      <c r="F41" s="40"/>
      <c r="G41" s="44" t="str">
        <f>" 1.53620"</f>
        <v xml:space="preserve"> 1.53620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"102.39933"</f>
        <v>102.39933</v>
      </c>
      <c r="F42" s="40"/>
      <c r="G42" s="44" t="str">
        <f>" 1.53649"</f>
        <v xml:space="preserve"> 1.53649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"102.41867"</f>
        <v>102.41867</v>
      </c>
      <c r="F43" s="40"/>
      <c r="G43" s="44" t="str">
        <f>" 1.53678"</f>
        <v xml:space="preserve"> 1.53678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"102.43800"</f>
        <v>102.43800</v>
      </c>
      <c r="F44" s="40"/>
      <c r="G44" s="44" t="str">
        <f>" 1.53707"</f>
        <v xml:space="preserve"> 1.53707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"102.45733"</f>
        <v>102.45733</v>
      </c>
      <c r="F45" s="40"/>
      <c r="G45" s="44" t="str">
        <f>" 1.53736"</f>
        <v xml:space="preserve"> 1.53736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"102.47667"</f>
        <v>102.47667</v>
      </c>
      <c r="F46" s="40"/>
      <c r="G46" s="44" t="str">
        <f>" 1.53765"</f>
        <v xml:space="preserve"> 1.53765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"102.49600"</f>
        <v>102.49600</v>
      </c>
      <c r="F47" s="40"/>
      <c r="G47" s="44" t="str">
        <f>" 1.53794"</f>
        <v xml:space="preserve"> 1.53794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"102.51533"</f>
        <v>102.51533</v>
      </c>
      <c r="F48" s="40"/>
      <c r="G48" s="44" t="str">
        <f>" 1.53823"</f>
        <v xml:space="preserve"> 1.53823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"102.53467"</f>
        <v>102.53467</v>
      </c>
      <c r="F49" s="40"/>
      <c r="G49" s="44" t="str">
        <f>" 1.53852"</f>
        <v xml:space="preserve"> 1.53852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"102.55400"</f>
        <v>102.55400</v>
      </c>
      <c r="F50" s="40"/>
      <c r="G50" s="44" t="str">
        <f>" 1.53881"</f>
        <v xml:space="preserve"> 1.53881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"102.57333"</f>
        <v>102.57333</v>
      </c>
      <c r="F51" s="40"/>
      <c r="G51" s="44" t="str">
        <f>" 1.53910"</f>
        <v xml:space="preserve"> 1.53910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"102.59267"</f>
        <v>102.59267</v>
      </c>
      <c r="F52" s="40"/>
      <c r="G52" s="44" t="str">
        <f>" 1.53939"</f>
        <v xml:space="preserve"> 1.53939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"102.61200"</f>
        <v>102.61200</v>
      </c>
      <c r="F53" s="40"/>
      <c r="G53" s="44" t="str">
        <f>" 1.53968"</f>
        <v xml:space="preserve"> 1.53968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"102.63133"</f>
        <v>102.63133</v>
      </c>
      <c r="F54" s="40"/>
      <c r="G54" s="44" t="str">
        <f>" 1.53997"</f>
        <v xml:space="preserve"> 1.53997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"102.65067"</f>
        <v>102.65067</v>
      </c>
      <c r="F55" s="39"/>
      <c r="G55" s="41" t="str">
        <f>" 1.54026"</f>
        <v xml:space="preserve"> 1.54026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2026-08-17T14:31:50Z</cp:lastPrinted>
  <dcterms:created xsi:type="dcterms:W3CDTF">2026-08-17T14:31:42Z</dcterms:created>
  <dcterms:modified xsi:type="dcterms:W3CDTF">2026-08-17T14:31:51Z</dcterms:modified>
</cp:coreProperties>
</file>